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tu Profil" sheetId="1" state="visible" r:id="rId3"/>
    <sheet name="Boru Profil" sheetId="2" state="visible" r:id="rId4"/>
    <sheet name="IPE" sheetId="3" state="visible" r:id="rId5"/>
    <sheet name="HEA" sheetId="4" state="visible" r:id="rId6"/>
    <sheet name="HEB" sheetId="5" state="visible" r:id="rId7"/>
    <sheet name="HEM" sheetId="6" state="visible" r:id="rId8"/>
    <sheet name="NPI" sheetId="7" state="visible" r:id="rId9"/>
    <sheet name="NPU" sheetId="8" state="visible" r:id="rId10"/>
    <sheet name="UPE" sheetId="9" state="visible" r:id="rId11"/>
    <sheet name="Köşebent" sheetId="10" state="visible" r:id="rId12"/>
    <sheet name="T Profil" sheetId="11" state="visible" r:id="rId13"/>
    <sheet name="Lama" sheetId="12" state="visible" r:id="rId14"/>
    <sheet name="Sac" sheetId="13" state="visible" r:id="rId15"/>
    <sheet name="Çeta Sac" sheetId="14" state="visible" r:id="rId16"/>
    <sheet name="Trapez Sac" sheetId="15" state="visible" r:id="rId17"/>
  </sheets>
  <definedNames>
    <definedName function="false" hidden="true" localSheetId="1" name="_xlnm._FilterDatabase" vbProcedure="false">'Boru Profil'!$A$4:$K$97</definedName>
    <definedName function="false" hidden="true" localSheetId="13" name="_xlnm._FilterDatabase" vbProcedure="false">'Çeta Sac'!$A$4:$J$27</definedName>
    <definedName function="false" hidden="true" localSheetId="3" name="_xlnm._FilterDatabase" vbProcedure="false">HEA!$A$4:$P$28</definedName>
    <definedName function="false" hidden="true" localSheetId="4" name="_xlnm._FilterDatabase" vbProcedure="false">HEB!$A$4:$P$28</definedName>
    <definedName function="false" hidden="true" localSheetId="5" name="_xlnm._FilterDatabase" vbProcedure="false">HEM!$A$4:$P$28</definedName>
    <definedName function="false" hidden="true" localSheetId="2" name="_xlnm._FilterDatabase" vbProcedure="false">IPE!$A$4:$P$22</definedName>
    <definedName function="false" hidden="true" localSheetId="9" name="_xlnm._FilterDatabase" vbProcedure="false">Köşebent!$A$4:$R$104</definedName>
    <definedName function="false" hidden="true" localSheetId="0" name="_xlnm._FilterDatabase" vbProcedure="false">'Kutu Profil'!$A$4:$O$335</definedName>
    <definedName function="false" hidden="true" localSheetId="11" name="_xlnm._FilterDatabase" vbProcedure="false">Lama!$A$4:$H$202</definedName>
    <definedName function="false" hidden="true" localSheetId="6" name="_xlnm._FilterDatabase" vbProcedure="false">NPI!$A$4:$O$25</definedName>
    <definedName function="false" hidden="true" localSheetId="7" name="_xlnm._FilterDatabase" vbProcedure="false">NPU!$A$4:$P$20</definedName>
    <definedName function="false" hidden="true" localSheetId="12" name="_xlnm._FilterDatabase" vbProcedure="false">Sac!$A$4:$J$51</definedName>
    <definedName function="false" hidden="true" localSheetId="10" name="_xlnm._FilterDatabase" vbProcedure="false">'T Profil'!$A$4:$N$17</definedName>
    <definedName function="false" hidden="true" localSheetId="14" name="_xlnm._FilterDatabase" vbProcedure="false">'Trapez Sac'!$A$4:$L$75</definedName>
    <definedName function="false" hidden="true" localSheetId="8" name="_xlnm._FilterDatabase" vbProcedure="false">UPE!$A$4:$P$18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<sst xmlns="http://schemas.openxmlformats.org/spreadsheetml/2006/main" count="2845" uniqueCount="1561">
  <si>
    <t xml:space="preserve">Kutu Profil · Kare ve Dikdörtgen Ölçü Tablosu</t>
  </si>
  <si>
    <t xml:space="preserve">Değerler nominaldir; TS EN 10219-2 köşe yarıçapları ve 7850 kg/m³ yoğunlukla hesaplanmıştır. Gerçek ağırlık üretici toleranslarına göre değişebilir.</t>
  </si>
  <si>
    <t xml:space="preserve">Stok kodu</t>
  </si>
  <si>
    <t xml:space="preserve">Tip</t>
  </si>
  <si>
    <t xml:space="preserve">Ölçü</t>
  </si>
  <si>
    <t xml:space="preserve">Et kalınlığı (mm)</t>
  </si>
  <si>
    <t xml:space="preserve">kg/m</t>
  </si>
  <si>
    <t xml:space="preserve">6 m boy (kg)</t>
  </si>
  <si>
    <t xml:space="preserve">12 m boy (kg)</t>
  </si>
  <si>
    <t xml:space="preserve">A (cm²)</t>
  </si>
  <si>
    <t xml:space="preserve">Ix (cm⁴)</t>
  </si>
  <si>
    <t xml:space="preserve">Iy (cm⁴)</t>
  </si>
  <si>
    <t xml:space="preserve">Wx (cm³)</t>
  </si>
  <si>
    <t xml:space="preserve">Wy (cm³)</t>
  </si>
  <si>
    <t xml:space="preserve">ix (cm)</t>
  </si>
  <si>
    <t xml:space="preserve">iy (cm)</t>
  </si>
  <si>
    <t xml:space="preserve">Boya yüzeyi (m²/m)</t>
  </si>
  <si>
    <t xml:space="preserve">KP-15X15X1.2</t>
  </si>
  <si>
    <t xml:space="preserve">Kare</t>
  </si>
  <si>
    <t xml:space="preserve">15 × 15</t>
  </si>
  <si>
    <t xml:space="preserve">KP-15X15X1.5</t>
  </si>
  <si>
    <t xml:space="preserve">KP-15X15X2</t>
  </si>
  <si>
    <t xml:space="preserve">KP-20X20X1.2</t>
  </si>
  <si>
    <t xml:space="preserve">20 × 20</t>
  </si>
  <si>
    <t xml:space="preserve">KP-20X20X1.5</t>
  </si>
  <si>
    <t xml:space="preserve">KP-20X20X2</t>
  </si>
  <si>
    <t xml:space="preserve">KP-25X25X1.2</t>
  </si>
  <si>
    <t xml:space="preserve">25 × 25</t>
  </si>
  <si>
    <t xml:space="preserve">KP-25X25X1.5</t>
  </si>
  <si>
    <t xml:space="preserve">KP-25X25X2</t>
  </si>
  <si>
    <t xml:space="preserve">KP-25X25X2.5</t>
  </si>
  <si>
    <t xml:space="preserve">KP-25X25X3</t>
  </si>
  <si>
    <t xml:space="preserve">KP-30X30X1.2</t>
  </si>
  <si>
    <t xml:space="preserve">30 × 30</t>
  </si>
  <si>
    <t xml:space="preserve">KP-30X30X1.5</t>
  </si>
  <si>
    <t xml:space="preserve">KP-30X30X2</t>
  </si>
  <si>
    <t xml:space="preserve">KP-30X30X2.5</t>
  </si>
  <si>
    <t xml:space="preserve">KP-30X30X3</t>
  </si>
  <si>
    <t xml:space="preserve">KP-35X35X1.5</t>
  </si>
  <si>
    <t xml:space="preserve">35 × 35</t>
  </si>
  <si>
    <t xml:space="preserve">KP-35X35X2</t>
  </si>
  <si>
    <t xml:space="preserve">KP-35X35X2.5</t>
  </si>
  <si>
    <t xml:space="preserve">KP-35X35X3</t>
  </si>
  <si>
    <t xml:space="preserve">KP-35X35X4</t>
  </si>
  <si>
    <t xml:space="preserve">KP-40X40X1.5</t>
  </si>
  <si>
    <t xml:space="preserve">40 × 40</t>
  </si>
  <si>
    <t xml:space="preserve">KP-40X40X2</t>
  </si>
  <si>
    <t xml:space="preserve">KP-40X40X2.5</t>
  </si>
  <si>
    <t xml:space="preserve">KP-40X40X3</t>
  </si>
  <si>
    <t xml:space="preserve">KP-40X40X4</t>
  </si>
  <si>
    <t xml:space="preserve">KP-45X45X1.5</t>
  </si>
  <si>
    <t xml:space="preserve">45 × 45</t>
  </si>
  <si>
    <t xml:space="preserve">KP-45X45X2</t>
  </si>
  <si>
    <t xml:space="preserve">KP-45X45X2.5</t>
  </si>
  <si>
    <t xml:space="preserve">KP-45X45X3</t>
  </si>
  <si>
    <t xml:space="preserve">KP-45X45X4</t>
  </si>
  <si>
    <t xml:space="preserve">KP-50X50X1.5</t>
  </si>
  <si>
    <t xml:space="preserve">50 × 50</t>
  </si>
  <si>
    <t xml:space="preserve">KP-50X50X2</t>
  </si>
  <si>
    <t xml:space="preserve">KP-50X50X2.5</t>
  </si>
  <si>
    <t xml:space="preserve">KP-50X50X3</t>
  </si>
  <si>
    <t xml:space="preserve">KP-50X50X4</t>
  </si>
  <si>
    <t xml:space="preserve">KP-60X60X2</t>
  </si>
  <si>
    <t xml:space="preserve">60 × 60</t>
  </si>
  <si>
    <t xml:space="preserve">KP-60X60X2.5</t>
  </si>
  <si>
    <t xml:space="preserve">KP-60X60X3</t>
  </si>
  <si>
    <t xml:space="preserve">KP-60X60X4</t>
  </si>
  <si>
    <t xml:space="preserve">KP-60X60X5</t>
  </si>
  <si>
    <t xml:space="preserve">KP-70X70X2</t>
  </si>
  <si>
    <t xml:space="preserve">70 × 70</t>
  </si>
  <si>
    <t xml:space="preserve">KP-70X70X2.5</t>
  </si>
  <si>
    <t xml:space="preserve">KP-70X70X3</t>
  </si>
  <si>
    <t xml:space="preserve">KP-70X70X4</t>
  </si>
  <si>
    <t xml:space="preserve">KP-70X70X5</t>
  </si>
  <si>
    <t xml:space="preserve">KP-80X80X2</t>
  </si>
  <si>
    <t xml:space="preserve">80 × 80</t>
  </si>
  <si>
    <t xml:space="preserve">KP-80X80X2.5</t>
  </si>
  <si>
    <t xml:space="preserve">KP-80X80X3</t>
  </si>
  <si>
    <t xml:space="preserve">KP-80X80X4</t>
  </si>
  <si>
    <t xml:space="preserve">KP-80X80X5</t>
  </si>
  <si>
    <t xml:space="preserve">KP-90X90X2</t>
  </si>
  <si>
    <t xml:space="preserve">90 × 90</t>
  </si>
  <si>
    <t xml:space="preserve">KP-90X90X2.5</t>
  </si>
  <si>
    <t xml:space="preserve">KP-90X90X3</t>
  </si>
  <si>
    <t xml:space="preserve">KP-90X90X4</t>
  </si>
  <si>
    <t xml:space="preserve">KP-90X90X5</t>
  </si>
  <si>
    <t xml:space="preserve">KP-90X90X6</t>
  </si>
  <si>
    <t xml:space="preserve">KP-100X100X2</t>
  </si>
  <si>
    <t xml:space="preserve">100 × 100</t>
  </si>
  <si>
    <t xml:space="preserve">KP-100X100X2.5</t>
  </si>
  <si>
    <t xml:space="preserve">KP-100X100X3</t>
  </si>
  <si>
    <t xml:space="preserve">KP-100X100X4</t>
  </si>
  <si>
    <t xml:space="preserve">KP-100X100X5</t>
  </si>
  <si>
    <t xml:space="preserve">KP-100X100X6</t>
  </si>
  <si>
    <t xml:space="preserve">KP-120X120X3</t>
  </si>
  <si>
    <t xml:space="preserve">120 × 120</t>
  </si>
  <si>
    <t xml:space="preserve">KP-120X120X4</t>
  </si>
  <si>
    <t xml:space="preserve">KP-120X120X5</t>
  </si>
  <si>
    <t xml:space="preserve">KP-120X120X6</t>
  </si>
  <si>
    <t xml:space="preserve">KP-120X120X8</t>
  </si>
  <si>
    <t xml:space="preserve">KP-140X140X3</t>
  </si>
  <si>
    <t xml:space="preserve">140 × 140</t>
  </si>
  <si>
    <t xml:space="preserve">KP-140X140X4</t>
  </si>
  <si>
    <t xml:space="preserve">KP-140X140X5</t>
  </si>
  <si>
    <t xml:space="preserve">KP-140X140X6</t>
  </si>
  <si>
    <t xml:space="preserve">KP-140X140X8</t>
  </si>
  <si>
    <t xml:space="preserve">KP-150X150X3</t>
  </si>
  <si>
    <t xml:space="preserve">150 × 150</t>
  </si>
  <si>
    <t xml:space="preserve">KP-150X150X4</t>
  </si>
  <si>
    <t xml:space="preserve">KP-150X150X5</t>
  </si>
  <si>
    <t xml:space="preserve">KP-150X150X6</t>
  </si>
  <si>
    <t xml:space="preserve">KP-150X150X8</t>
  </si>
  <si>
    <t xml:space="preserve">KP-160X160X4</t>
  </si>
  <si>
    <t xml:space="preserve">160 × 160</t>
  </si>
  <si>
    <t xml:space="preserve">KP-160X160X5</t>
  </si>
  <si>
    <t xml:space="preserve">KP-160X160X6</t>
  </si>
  <si>
    <t xml:space="preserve">KP-160X160X8</t>
  </si>
  <si>
    <t xml:space="preserve">KP-160X160X10</t>
  </si>
  <si>
    <t xml:space="preserve">KP-180X180X4</t>
  </si>
  <si>
    <t xml:space="preserve">180 × 180</t>
  </si>
  <si>
    <t xml:space="preserve">KP-180X180X5</t>
  </si>
  <si>
    <t xml:space="preserve">KP-180X180X6</t>
  </si>
  <si>
    <t xml:space="preserve">KP-180X180X8</t>
  </si>
  <si>
    <t xml:space="preserve">KP-180X180X10</t>
  </si>
  <si>
    <t xml:space="preserve">KP-200X200X4</t>
  </si>
  <si>
    <t xml:space="preserve">200 × 200</t>
  </si>
  <si>
    <t xml:space="preserve">KP-200X200X5</t>
  </si>
  <si>
    <t xml:space="preserve">KP-200X200X6</t>
  </si>
  <si>
    <t xml:space="preserve">KP-200X200X8</t>
  </si>
  <si>
    <t xml:space="preserve">KP-200X200X10</t>
  </si>
  <si>
    <t xml:space="preserve">KP-220X220X5</t>
  </si>
  <si>
    <t xml:space="preserve">220 × 220</t>
  </si>
  <si>
    <t xml:space="preserve">KP-220X220X6</t>
  </si>
  <si>
    <t xml:space="preserve">KP-220X220X8</t>
  </si>
  <si>
    <t xml:space="preserve">KP-220X220X10</t>
  </si>
  <si>
    <t xml:space="preserve">KP-220X220X12.5</t>
  </si>
  <si>
    <t xml:space="preserve">KP-250X250X5</t>
  </si>
  <si>
    <t xml:space="preserve">250 × 250</t>
  </si>
  <si>
    <t xml:space="preserve">KP-250X250X6</t>
  </si>
  <si>
    <t xml:space="preserve">KP-250X250X8</t>
  </si>
  <si>
    <t xml:space="preserve">KP-250X250X10</t>
  </si>
  <si>
    <t xml:space="preserve">KP-250X250X12.5</t>
  </si>
  <si>
    <t xml:space="preserve">KP-260X260X5</t>
  </si>
  <si>
    <t xml:space="preserve">260 × 260</t>
  </si>
  <si>
    <t xml:space="preserve">KP-260X260X6</t>
  </si>
  <si>
    <t xml:space="preserve">KP-260X260X8</t>
  </si>
  <si>
    <t xml:space="preserve">KP-260X260X10</t>
  </si>
  <si>
    <t xml:space="preserve">KP-260X260X12.5</t>
  </si>
  <si>
    <t xml:space="preserve">KP-300X300X5</t>
  </si>
  <si>
    <t xml:space="preserve">300 × 300</t>
  </si>
  <si>
    <t xml:space="preserve">KP-300X300X6</t>
  </si>
  <si>
    <t xml:space="preserve">KP-300X300X8</t>
  </si>
  <si>
    <t xml:space="preserve">KP-300X300X10</t>
  </si>
  <si>
    <t xml:space="preserve">KP-300X300X12.5</t>
  </si>
  <si>
    <t xml:space="preserve">KP-350X350X6</t>
  </si>
  <si>
    <t xml:space="preserve">350 × 350</t>
  </si>
  <si>
    <t xml:space="preserve">KP-350X350X8</t>
  </si>
  <si>
    <t xml:space="preserve">KP-350X350X10</t>
  </si>
  <si>
    <t xml:space="preserve">KP-350X350X12.5</t>
  </si>
  <si>
    <t xml:space="preserve">KP-400X400X6</t>
  </si>
  <si>
    <t xml:space="preserve">400 × 400</t>
  </si>
  <si>
    <t xml:space="preserve">KP-400X400X8</t>
  </si>
  <si>
    <t xml:space="preserve">KP-400X400X10</t>
  </si>
  <si>
    <t xml:space="preserve">KP-400X400X12.5</t>
  </si>
  <si>
    <t xml:space="preserve">KP-20X10X1.2</t>
  </si>
  <si>
    <t xml:space="preserve">Dikdörtgen</t>
  </si>
  <si>
    <t xml:space="preserve">20 × 10</t>
  </si>
  <si>
    <t xml:space="preserve">KP-20X10X1.5</t>
  </si>
  <si>
    <t xml:space="preserve">KP-20X10X2</t>
  </si>
  <si>
    <t xml:space="preserve">KP-30X15X1.2</t>
  </si>
  <si>
    <t xml:space="preserve">30 × 15</t>
  </si>
  <si>
    <t xml:space="preserve">KP-30X15X1.5</t>
  </si>
  <si>
    <t xml:space="preserve">KP-30X15X2</t>
  </si>
  <si>
    <t xml:space="preserve">KP-30X15X2.5</t>
  </si>
  <si>
    <t xml:space="preserve">KP-30X15X3</t>
  </si>
  <si>
    <t xml:space="preserve">KP-30X20X1.2</t>
  </si>
  <si>
    <t xml:space="preserve">30 × 20</t>
  </si>
  <si>
    <t xml:space="preserve">KP-30X20X1.5</t>
  </si>
  <si>
    <t xml:space="preserve">KP-30X20X2</t>
  </si>
  <si>
    <t xml:space="preserve">KP-30X20X2.5</t>
  </si>
  <si>
    <t xml:space="preserve">KP-30X20X3</t>
  </si>
  <si>
    <t xml:space="preserve">KP-40X10X1.5</t>
  </si>
  <si>
    <t xml:space="preserve">40 × 10</t>
  </si>
  <si>
    <t xml:space="preserve">KP-40X10X2</t>
  </si>
  <si>
    <t xml:space="preserve">KP-40X10X2.5</t>
  </si>
  <si>
    <t xml:space="preserve">KP-40X15X1.5</t>
  </si>
  <si>
    <t xml:space="preserve">40 × 15</t>
  </si>
  <si>
    <t xml:space="preserve">KP-40X15X2</t>
  </si>
  <si>
    <t xml:space="preserve">KP-40X15X2.5</t>
  </si>
  <si>
    <t xml:space="preserve">KP-40X15X3</t>
  </si>
  <si>
    <t xml:space="preserve">KP-40X20X1.5</t>
  </si>
  <si>
    <t xml:space="preserve">40 × 20</t>
  </si>
  <si>
    <t xml:space="preserve">KP-40X20X2</t>
  </si>
  <si>
    <t xml:space="preserve">KP-40X20X2.5</t>
  </si>
  <si>
    <t xml:space="preserve">KP-40X20X3</t>
  </si>
  <si>
    <t xml:space="preserve">KP-40X20X4</t>
  </si>
  <si>
    <t xml:space="preserve">KP-40X30X1.5</t>
  </si>
  <si>
    <t xml:space="preserve">40 × 30</t>
  </si>
  <si>
    <t xml:space="preserve">KP-40X30X2</t>
  </si>
  <si>
    <t xml:space="preserve">KP-40X30X2.5</t>
  </si>
  <si>
    <t xml:space="preserve">KP-40X30X3</t>
  </si>
  <si>
    <t xml:space="preserve">KP-40X30X4</t>
  </si>
  <si>
    <t xml:space="preserve">KP-50X20X1.5</t>
  </si>
  <si>
    <t xml:space="preserve">50 × 20</t>
  </si>
  <si>
    <t xml:space="preserve">KP-50X20X2</t>
  </si>
  <si>
    <t xml:space="preserve">KP-50X20X2.5</t>
  </si>
  <si>
    <t xml:space="preserve">KP-50X20X3</t>
  </si>
  <si>
    <t xml:space="preserve">KP-50X20X4</t>
  </si>
  <si>
    <t xml:space="preserve">KP-50X25X1.5</t>
  </si>
  <si>
    <t xml:space="preserve">50 × 25</t>
  </si>
  <si>
    <t xml:space="preserve">KP-50X25X2</t>
  </si>
  <si>
    <t xml:space="preserve">KP-50X25X2.5</t>
  </si>
  <si>
    <t xml:space="preserve">KP-50X25X3</t>
  </si>
  <si>
    <t xml:space="preserve">KP-50X25X4</t>
  </si>
  <si>
    <t xml:space="preserve">KP-50X30X1.5</t>
  </si>
  <si>
    <t xml:space="preserve">50 × 30</t>
  </si>
  <si>
    <t xml:space="preserve">KP-50X30X2</t>
  </si>
  <si>
    <t xml:space="preserve">KP-50X30X2.5</t>
  </si>
  <si>
    <t xml:space="preserve">KP-50X30X3</t>
  </si>
  <si>
    <t xml:space="preserve">KP-50X30X4</t>
  </si>
  <si>
    <t xml:space="preserve">KP-60X20X2</t>
  </si>
  <si>
    <t xml:space="preserve">60 × 20</t>
  </si>
  <si>
    <t xml:space="preserve">KP-60X20X2.5</t>
  </si>
  <si>
    <t xml:space="preserve">KP-60X20X3</t>
  </si>
  <si>
    <t xml:space="preserve">KP-60X20X4</t>
  </si>
  <si>
    <t xml:space="preserve">KP-60X20X5</t>
  </si>
  <si>
    <t xml:space="preserve">KP-60X30X2</t>
  </si>
  <si>
    <t xml:space="preserve">60 × 30</t>
  </si>
  <si>
    <t xml:space="preserve">KP-60X30X2.5</t>
  </si>
  <si>
    <t xml:space="preserve">KP-60X30X3</t>
  </si>
  <si>
    <t xml:space="preserve">KP-60X30X4</t>
  </si>
  <si>
    <t xml:space="preserve">KP-60X30X5</t>
  </si>
  <si>
    <t xml:space="preserve">KP-60X40X2</t>
  </si>
  <si>
    <t xml:space="preserve">60 × 40</t>
  </si>
  <si>
    <t xml:space="preserve">KP-60X40X2.5</t>
  </si>
  <si>
    <t xml:space="preserve">KP-60X40X3</t>
  </si>
  <si>
    <t xml:space="preserve">KP-60X40X4</t>
  </si>
  <si>
    <t xml:space="preserve">KP-60X40X5</t>
  </si>
  <si>
    <t xml:space="preserve">KP-70X30X2</t>
  </si>
  <si>
    <t xml:space="preserve">70 × 30</t>
  </si>
  <si>
    <t xml:space="preserve">KP-70X30X2.5</t>
  </si>
  <si>
    <t xml:space="preserve">KP-70X30X3</t>
  </si>
  <si>
    <t xml:space="preserve">KP-70X30X4</t>
  </si>
  <si>
    <t xml:space="preserve">KP-70X30X5</t>
  </si>
  <si>
    <t xml:space="preserve">KP-70X40X2</t>
  </si>
  <si>
    <t xml:space="preserve">70 × 40</t>
  </si>
  <si>
    <t xml:space="preserve">KP-70X40X2.5</t>
  </si>
  <si>
    <t xml:space="preserve">KP-70X40X3</t>
  </si>
  <si>
    <t xml:space="preserve">KP-70X40X4</t>
  </si>
  <si>
    <t xml:space="preserve">KP-70X40X5</t>
  </si>
  <si>
    <t xml:space="preserve">KP-70X50X2</t>
  </si>
  <si>
    <t xml:space="preserve">70 × 50</t>
  </si>
  <si>
    <t xml:space="preserve">KP-70X50X2.5</t>
  </si>
  <si>
    <t xml:space="preserve">KP-70X50X3</t>
  </si>
  <si>
    <t xml:space="preserve">KP-70X50X4</t>
  </si>
  <si>
    <t xml:space="preserve">KP-70X50X5</t>
  </si>
  <si>
    <t xml:space="preserve">KP-80X20X2</t>
  </si>
  <si>
    <t xml:space="preserve">80 × 20</t>
  </si>
  <si>
    <t xml:space="preserve">KP-80X20X2.5</t>
  </si>
  <si>
    <t xml:space="preserve">KP-80X20X3</t>
  </si>
  <si>
    <t xml:space="preserve">KP-80X20X4</t>
  </si>
  <si>
    <t xml:space="preserve">KP-80X20X5</t>
  </si>
  <si>
    <t xml:space="preserve">KP-80X40X2</t>
  </si>
  <si>
    <t xml:space="preserve">80 × 40</t>
  </si>
  <si>
    <t xml:space="preserve">KP-80X40X2.5</t>
  </si>
  <si>
    <t xml:space="preserve">KP-80X40X3</t>
  </si>
  <si>
    <t xml:space="preserve">KP-80X40X4</t>
  </si>
  <si>
    <t xml:space="preserve">KP-80X40X5</t>
  </si>
  <si>
    <t xml:space="preserve">KP-80X60X2</t>
  </si>
  <si>
    <t xml:space="preserve">80 × 60</t>
  </si>
  <si>
    <t xml:space="preserve">KP-80X60X2.5</t>
  </si>
  <si>
    <t xml:space="preserve">KP-80X60X3</t>
  </si>
  <si>
    <t xml:space="preserve">KP-80X60X4</t>
  </si>
  <si>
    <t xml:space="preserve">KP-80X60X5</t>
  </si>
  <si>
    <t xml:space="preserve">KP-90X50X2</t>
  </si>
  <si>
    <t xml:space="preserve">90 × 50</t>
  </si>
  <si>
    <t xml:space="preserve">KP-90X50X2.5</t>
  </si>
  <si>
    <t xml:space="preserve">KP-90X50X3</t>
  </si>
  <si>
    <t xml:space="preserve">KP-90X50X4</t>
  </si>
  <si>
    <t xml:space="preserve">KP-90X50X5</t>
  </si>
  <si>
    <t xml:space="preserve">KP-90X50X6</t>
  </si>
  <si>
    <t xml:space="preserve">KP-100X20X2</t>
  </si>
  <si>
    <t xml:space="preserve">100 × 20</t>
  </si>
  <si>
    <t xml:space="preserve">KP-100X20X2.5</t>
  </si>
  <si>
    <t xml:space="preserve">KP-100X20X3</t>
  </si>
  <si>
    <t xml:space="preserve">KP-100X20X4</t>
  </si>
  <si>
    <t xml:space="preserve">KP-100X20X5</t>
  </si>
  <si>
    <t xml:space="preserve">KP-100X30X2</t>
  </si>
  <si>
    <t xml:space="preserve">100 × 30</t>
  </si>
  <si>
    <t xml:space="preserve">KP-100X30X2.5</t>
  </si>
  <si>
    <t xml:space="preserve">KP-100X30X3</t>
  </si>
  <si>
    <t xml:space="preserve">KP-100X30X4</t>
  </si>
  <si>
    <t xml:space="preserve">KP-100X30X5</t>
  </si>
  <si>
    <t xml:space="preserve">KP-100X30X6</t>
  </si>
  <si>
    <t xml:space="preserve">KP-100X40X2</t>
  </si>
  <si>
    <t xml:space="preserve">100 × 40</t>
  </si>
  <si>
    <t xml:space="preserve">KP-100X40X2.5</t>
  </si>
  <si>
    <t xml:space="preserve">KP-100X40X3</t>
  </si>
  <si>
    <t xml:space="preserve">KP-100X40X4</t>
  </si>
  <si>
    <t xml:space="preserve">KP-100X40X5</t>
  </si>
  <si>
    <t xml:space="preserve">KP-100X40X6</t>
  </si>
  <si>
    <t xml:space="preserve">KP-100X50X2</t>
  </si>
  <si>
    <t xml:space="preserve">100 × 50</t>
  </si>
  <si>
    <t xml:space="preserve">KP-100X50X2.5</t>
  </si>
  <si>
    <t xml:space="preserve">KP-100X50X3</t>
  </si>
  <si>
    <t xml:space="preserve">KP-100X50X4</t>
  </si>
  <si>
    <t xml:space="preserve">KP-100X50X5</t>
  </si>
  <si>
    <t xml:space="preserve">KP-100X50X6</t>
  </si>
  <si>
    <t xml:space="preserve">KP-100X60X2</t>
  </si>
  <si>
    <t xml:space="preserve">100 × 60</t>
  </si>
  <si>
    <t xml:space="preserve">KP-100X60X2.5</t>
  </si>
  <si>
    <t xml:space="preserve">KP-100X60X3</t>
  </si>
  <si>
    <t xml:space="preserve">KP-100X60X4</t>
  </si>
  <si>
    <t xml:space="preserve">KP-100X60X5</t>
  </si>
  <si>
    <t xml:space="preserve">KP-100X60X6</t>
  </si>
  <si>
    <t xml:space="preserve">KP-100X80X2</t>
  </si>
  <si>
    <t xml:space="preserve">100 × 80</t>
  </si>
  <si>
    <t xml:space="preserve">KP-100X80X2.5</t>
  </si>
  <si>
    <t xml:space="preserve">KP-100X80X3</t>
  </si>
  <si>
    <t xml:space="preserve">KP-100X80X4</t>
  </si>
  <si>
    <t xml:space="preserve">KP-100X80X5</t>
  </si>
  <si>
    <t xml:space="preserve">KP-100X80X6</t>
  </si>
  <si>
    <t xml:space="preserve">KP-120X40X3</t>
  </si>
  <si>
    <t xml:space="preserve">120 × 40</t>
  </si>
  <si>
    <t xml:space="preserve">KP-120X40X4</t>
  </si>
  <si>
    <t xml:space="preserve">KP-120X40X5</t>
  </si>
  <si>
    <t xml:space="preserve">KP-120X40X6</t>
  </si>
  <si>
    <t xml:space="preserve">KP-120X40X8</t>
  </si>
  <si>
    <t xml:space="preserve">KP-120X60X3</t>
  </si>
  <si>
    <t xml:space="preserve">120 × 60</t>
  </si>
  <si>
    <t xml:space="preserve">KP-120X60X4</t>
  </si>
  <si>
    <t xml:space="preserve">KP-120X60X5</t>
  </si>
  <si>
    <t xml:space="preserve">KP-120X60X6</t>
  </si>
  <si>
    <t xml:space="preserve">KP-120X60X8</t>
  </si>
  <si>
    <t xml:space="preserve">KP-120X80X3</t>
  </si>
  <si>
    <t xml:space="preserve">120 × 80</t>
  </si>
  <si>
    <t xml:space="preserve">KP-120X80X4</t>
  </si>
  <si>
    <t xml:space="preserve">KP-120X80X5</t>
  </si>
  <si>
    <t xml:space="preserve">KP-120X80X6</t>
  </si>
  <si>
    <t xml:space="preserve">KP-120X80X8</t>
  </si>
  <si>
    <t xml:space="preserve">KP-140X60X3</t>
  </si>
  <si>
    <t xml:space="preserve">140 × 60</t>
  </si>
  <si>
    <t xml:space="preserve">KP-140X60X4</t>
  </si>
  <si>
    <t xml:space="preserve">KP-140X60X5</t>
  </si>
  <si>
    <t xml:space="preserve">KP-140X60X6</t>
  </si>
  <si>
    <t xml:space="preserve">KP-140X60X8</t>
  </si>
  <si>
    <t xml:space="preserve">KP-140X80X3</t>
  </si>
  <si>
    <t xml:space="preserve">140 × 80</t>
  </si>
  <si>
    <t xml:space="preserve">KP-140X80X4</t>
  </si>
  <si>
    <t xml:space="preserve">KP-140X80X5</t>
  </si>
  <si>
    <t xml:space="preserve">KP-140X80X6</t>
  </si>
  <si>
    <t xml:space="preserve">KP-140X80X8</t>
  </si>
  <si>
    <t xml:space="preserve">KP-150X50X3</t>
  </si>
  <si>
    <t xml:space="preserve">150 × 50</t>
  </si>
  <si>
    <t xml:space="preserve">KP-150X50X4</t>
  </si>
  <si>
    <t xml:space="preserve">KP-150X50X5</t>
  </si>
  <si>
    <t xml:space="preserve">KP-150X50X6</t>
  </si>
  <si>
    <t xml:space="preserve">KP-150X50X8</t>
  </si>
  <si>
    <t xml:space="preserve">KP-150X100X3</t>
  </si>
  <si>
    <t xml:space="preserve">150 × 100</t>
  </si>
  <si>
    <t xml:space="preserve">KP-150X100X4</t>
  </si>
  <si>
    <t xml:space="preserve">KP-150X100X5</t>
  </si>
  <si>
    <t xml:space="preserve">KP-150X100X6</t>
  </si>
  <si>
    <t xml:space="preserve">KP-150X100X8</t>
  </si>
  <si>
    <t xml:space="preserve">KP-160X80X4</t>
  </si>
  <si>
    <t xml:space="preserve">160 × 80</t>
  </si>
  <si>
    <t xml:space="preserve">KP-160X80X5</t>
  </si>
  <si>
    <t xml:space="preserve">KP-160X80X6</t>
  </si>
  <si>
    <t xml:space="preserve">KP-160X80X8</t>
  </si>
  <si>
    <t xml:space="preserve">KP-160X80X10</t>
  </si>
  <si>
    <t xml:space="preserve">KP-180X100X4</t>
  </si>
  <si>
    <t xml:space="preserve">180 × 100</t>
  </si>
  <si>
    <t xml:space="preserve">KP-180X100X5</t>
  </si>
  <si>
    <t xml:space="preserve">KP-180X100X6</t>
  </si>
  <si>
    <t xml:space="preserve">KP-180X100X8</t>
  </si>
  <si>
    <t xml:space="preserve">KP-180X100X10</t>
  </si>
  <si>
    <t xml:space="preserve">KP-200X100X4</t>
  </si>
  <si>
    <t xml:space="preserve">200 × 100</t>
  </si>
  <si>
    <t xml:space="preserve">KP-200X100X5</t>
  </si>
  <si>
    <t xml:space="preserve">KP-200X100X6</t>
  </si>
  <si>
    <t xml:space="preserve">KP-200X100X8</t>
  </si>
  <si>
    <t xml:space="preserve">KP-200X100X10</t>
  </si>
  <si>
    <t xml:space="preserve">KP-200X120X4</t>
  </si>
  <si>
    <t xml:space="preserve">200 × 120</t>
  </si>
  <si>
    <t xml:space="preserve">KP-200X120X5</t>
  </si>
  <si>
    <t xml:space="preserve">KP-200X120X6</t>
  </si>
  <si>
    <t xml:space="preserve">KP-200X120X8</t>
  </si>
  <si>
    <t xml:space="preserve">KP-200X120X10</t>
  </si>
  <si>
    <t xml:space="preserve">KP-200X150X4</t>
  </si>
  <si>
    <t xml:space="preserve">200 × 150</t>
  </si>
  <si>
    <t xml:space="preserve">KP-200X150X5</t>
  </si>
  <si>
    <t xml:space="preserve">KP-200X150X6</t>
  </si>
  <si>
    <t xml:space="preserve">KP-200X150X8</t>
  </si>
  <si>
    <t xml:space="preserve">KP-200X150X10</t>
  </si>
  <si>
    <t xml:space="preserve">KP-250X150X5</t>
  </si>
  <si>
    <t xml:space="preserve">250 × 150</t>
  </si>
  <si>
    <t xml:space="preserve">KP-250X150X6</t>
  </si>
  <si>
    <t xml:space="preserve">KP-250X150X8</t>
  </si>
  <si>
    <t xml:space="preserve">KP-250X150X10</t>
  </si>
  <si>
    <t xml:space="preserve">KP-250X150X12.5</t>
  </si>
  <si>
    <t xml:space="preserve">KP-300X100X5</t>
  </si>
  <si>
    <t xml:space="preserve">300 × 100</t>
  </si>
  <si>
    <t xml:space="preserve">KP-300X100X6</t>
  </si>
  <si>
    <t xml:space="preserve">KP-300X100X8</t>
  </si>
  <si>
    <t xml:space="preserve">KP-300X100X10</t>
  </si>
  <si>
    <t xml:space="preserve">KP-300X100X12.5</t>
  </si>
  <si>
    <t xml:space="preserve">KP-300X200X5</t>
  </si>
  <si>
    <t xml:space="preserve">300 × 200</t>
  </si>
  <si>
    <t xml:space="preserve">KP-300X200X6</t>
  </si>
  <si>
    <t xml:space="preserve">KP-300X200X8</t>
  </si>
  <si>
    <t xml:space="preserve">KP-300X200X10</t>
  </si>
  <si>
    <t xml:space="preserve">KP-300X200X12.5</t>
  </si>
  <si>
    <t xml:space="preserve">KP-400X200X6</t>
  </si>
  <si>
    <t xml:space="preserve">400 × 200</t>
  </si>
  <si>
    <t xml:space="preserve">KP-400X200X8</t>
  </si>
  <si>
    <t xml:space="preserve">KP-400X200X10</t>
  </si>
  <si>
    <t xml:space="preserve">KP-400X200X12.5</t>
  </si>
  <si>
    <t xml:space="preserve">Boru Profil · Yuvarlak Çelik Boru Ölçü Tablosu</t>
  </si>
  <si>
    <t xml:space="preserve">Değerler nominal çap ve et kalınlığıyla, 7850 kg/m³ yoğunlukla hesaplanmıştır.</t>
  </si>
  <si>
    <t xml:space="preserve">I (cm⁴)</t>
  </si>
  <si>
    <t xml:space="preserve">W (cm³)</t>
  </si>
  <si>
    <t xml:space="preserve">i (cm)</t>
  </si>
  <si>
    <t xml:space="preserve">BP-21.3X2</t>
  </si>
  <si>
    <t xml:space="preserve">Ø21,3 · 1/2"</t>
  </si>
  <si>
    <t xml:space="preserve">BP-21.3X2.3</t>
  </si>
  <si>
    <t xml:space="preserve">BP-21.3X2.6</t>
  </si>
  <si>
    <t xml:space="preserve">BP-21.3X2.9</t>
  </si>
  <si>
    <t xml:space="preserve">BP-21.3X3.2</t>
  </si>
  <si>
    <t xml:space="preserve">BP-26.9X2</t>
  </si>
  <si>
    <t xml:space="preserve">Ø26,9 · 3/4"</t>
  </si>
  <si>
    <t xml:space="preserve">BP-26.9X2.3</t>
  </si>
  <si>
    <t xml:space="preserve">BP-26.9X2.6</t>
  </si>
  <si>
    <t xml:space="preserve">BP-26.9X2.9</t>
  </si>
  <si>
    <t xml:space="preserve">BP-26.9X3.2</t>
  </si>
  <si>
    <t xml:space="preserve">BP-33.7X2</t>
  </si>
  <si>
    <t xml:space="preserve">Ø33,7 · 1"</t>
  </si>
  <si>
    <t xml:space="preserve">BP-33.7X2.6</t>
  </si>
  <si>
    <t xml:space="preserve">BP-33.7X2.9</t>
  </si>
  <si>
    <t xml:space="preserve">BP-33.7X3.2</t>
  </si>
  <si>
    <t xml:space="preserve">BP-33.7X4</t>
  </si>
  <si>
    <t xml:space="preserve">BP-42.4X2</t>
  </si>
  <si>
    <t xml:space="preserve">Ø42,4 · 1 1/4"</t>
  </si>
  <si>
    <t xml:space="preserve">BP-42.4X2.6</t>
  </si>
  <si>
    <t xml:space="preserve">BP-42.4X2.9</t>
  </si>
  <si>
    <t xml:space="preserve">BP-42.4X3.2</t>
  </si>
  <si>
    <t xml:space="preserve">BP-42.4X4</t>
  </si>
  <si>
    <t xml:space="preserve">BP-48.3X2</t>
  </si>
  <si>
    <t xml:space="preserve">Ø48,3 · 1 1/2"</t>
  </si>
  <si>
    <t xml:space="preserve">BP-48.3X2.6</t>
  </si>
  <si>
    <t xml:space="preserve">BP-48.3X2.9</t>
  </si>
  <si>
    <t xml:space="preserve">BP-48.3X3.2</t>
  </si>
  <si>
    <t xml:space="preserve">BP-48.3X4</t>
  </si>
  <si>
    <t xml:space="preserve">BP-48.3X5</t>
  </si>
  <si>
    <t xml:space="preserve">BP-60.3X2</t>
  </si>
  <si>
    <t xml:space="preserve">Ø60,3 · 2"</t>
  </si>
  <si>
    <t xml:space="preserve">BP-60.3X2.6</t>
  </si>
  <si>
    <t xml:space="preserve">BP-60.3X2.9</t>
  </si>
  <si>
    <t xml:space="preserve">BP-60.3X3.2</t>
  </si>
  <si>
    <t xml:space="preserve">BP-60.3X3.6</t>
  </si>
  <si>
    <t xml:space="preserve">BP-60.3X4</t>
  </si>
  <si>
    <t xml:space="preserve">BP-60.3X5</t>
  </si>
  <si>
    <t xml:space="preserve">BP-76.1X2</t>
  </si>
  <si>
    <t xml:space="preserve">Ø76,1 · 2 1/2"</t>
  </si>
  <si>
    <t xml:space="preserve">BP-76.1X2.6</t>
  </si>
  <si>
    <t xml:space="preserve">BP-76.1X2.9</t>
  </si>
  <si>
    <t xml:space="preserve">BP-76.1X3.2</t>
  </si>
  <si>
    <t xml:space="preserve">BP-76.1X3.6</t>
  </si>
  <si>
    <t xml:space="preserve">BP-76.1X4</t>
  </si>
  <si>
    <t xml:space="preserve">BP-76.1X5</t>
  </si>
  <si>
    <t xml:space="preserve">BP-88.9X2.6</t>
  </si>
  <si>
    <t xml:space="preserve">Ø88,9 · 3"</t>
  </si>
  <si>
    <t xml:space="preserve">BP-88.9X3.2</t>
  </si>
  <si>
    <t xml:space="preserve">BP-88.9X3.6</t>
  </si>
  <si>
    <t xml:space="preserve">BP-88.9X4</t>
  </si>
  <si>
    <t xml:space="preserve">BP-88.9X5</t>
  </si>
  <si>
    <t xml:space="preserve">BP-88.9X6</t>
  </si>
  <si>
    <t xml:space="preserve">BP-101.6X3</t>
  </si>
  <si>
    <t xml:space="preserve">Ø101,6 · 3 1/2"</t>
  </si>
  <si>
    <t xml:space="preserve">BP-101.6X3.2</t>
  </si>
  <si>
    <t xml:space="preserve">BP-101.6X3.6</t>
  </si>
  <si>
    <t xml:space="preserve">BP-101.6X4</t>
  </si>
  <si>
    <t xml:space="preserve">BP-101.6X5</t>
  </si>
  <si>
    <t xml:space="preserve">BP-101.6X6</t>
  </si>
  <si>
    <t xml:space="preserve">BP-114.3X3</t>
  </si>
  <si>
    <t xml:space="preserve">Ø114,3 · 4"</t>
  </si>
  <si>
    <t xml:space="preserve">BP-114.3X3.2</t>
  </si>
  <si>
    <t xml:space="preserve">BP-114.3X3.6</t>
  </si>
  <si>
    <t xml:space="preserve">BP-114.3X4</t>
  </si>
  <si>
    <t xml:space="preserve">BP-114.3X5</t>
  </si>
  <si>
    <t xml:space="preserve">BP-114.3X6</t>
  </si>
  <si>
    <t xml:space="preserve">BP-139.7X3.2</t>
  </si>
  <si>
    <t xml:space="preserve">Ø139,7 · 5"</t>
  </si>
  <si>
    <t xml:space="preserve">BP-139.7X4</t>
  </si>
  <si>
    <t xml:space="preserve">BP-139.7X5</t>
  </si>
  <si>
    <t xml:space="preserve">BP-139.7X6</t>
  </si>
  <si>
    <t xml:space="preserve">BP-139.7X8</t>
  </si>
  <si>
    <t xml:space="preserve">BP-168.3X3.2</t>
  </si>
  <si>
    <t xml:space="preserve">Ø168,3 · 6"</t>
  </si>
  <si>
    <t xml:space="preserve">BP-168.3X4</t>
  </si>
  <si>
    <t xml:space="preserve">BP-168.3X5</t>
  </si>
  <si>
    <t xml:space="preserve">BP-168.3X6</t>
  </si>
  <si>
    <t xml:space="preserve">BP-168.3X8</t>
  </si>
  <si>
    <t xml:space="preserve">BP-168.3X10</t>
  </si>
  <si>
    <t xml:space="preserve">BP-219.1X4</t>
  </si>
  <si>
    <t xml:space="preserve">Ø219,1 · 8"</t>
  </si>
  <si>
    <t xml:space="preserve">BP-219.1X5</t>
  </si>
  <si>
    <t xml:space="preserve">BP-219.1X6</t>
  </si>
  <si>
    <t xml:space="preserve">BP-219.1X8</t>
  </si>
  <si>
    <t xml:space="preserve">BP-219.1X10</t>
  </si>
  <si>
    <t xml:space="preserve">BP-219.1X12.5</t>
  </si>
  <si>
    <t xml:space="preserve">BP-273X5</t>
  </si>
  <si>
    <t xml:space="preserve">Ø273 · 10"</t>
  </si>
  <si>
    <t xml:space="preserve">BP-273X6</t>
  </si>
  <si>
    <t xml:space="preserve">BP-273X8</t>
  </si>
  <si>
    <t xml:space="preserve">BP-273X10</t>
  </si>
  <si>
    <t xml:space="preserve">BP-273X12.5</t>
  </si>
  <si>
    <t xml:space="preserve">BP-323.9X5</t>
  </si>
  <si>
    <t xml:space="preserve">Ø323,9 · 12"</t>
  </si>
  <si>
    <t xml:space="preserve">BP-323.9X6</t>
  </si>
  <si>
    <t xml:space="preserve">BP-323.9X8</t>
  </si>
  <si>
    <t xml:space="preserve">BP-323.9X10</t>
  </si>
  <si>
    <t xml:space="preserve">BP-323.9X12.5</t>
  </si>
  <si>
    <t xml:space="preserve">BP-355.6X6</t>
  </si>
  <si>
    <t xml:space="preserve">Ø355,6 · 14"</t>
  </si>
  <si>
    <t xml:space="preserve">BP-355.6X8</t>
  </si>
  <si>
    <t xml:space="preserve">BP-355.6X10</t>
  </si>
  <si>
    <t xml:space="preserve">BP-355.6X12.5</t>
  </si>
  <si>
    <t xml:space="preserve">BP-406.4X6</t>
  </si>
  <si>
    <t xml:space="preserve">Ø406,4 · 16"</t>
  </si>
  <si>
    <t xml:space="preserve">BP-406.4X8</t>
  </si>
  <si>
    <t xml:space="preserve">BP-406.4X10</t>
  </si>
  <si>
    <t xml:space="preserve">BP-406.4X12.5</t>
  </si>
  <si>
    <t xml:space="preserve">IPE Profil Ölçü ve Ağırlık Tablosu</t>
  </si>
  <si>
    <t xml:space="preserve">Kesit değerleri nominal ölçüler ve 7850 kg/m³ yoğunlukla hesaplanmıştır. Gerçek ağırlık haddehane toleranslarına göre değişebilir.</t>
  </si>
  <si>
    <t xml:space="preserve">tw (mm)</t>
  </si>
  <si>
    <t xml:space="preserve">tf (mm)</t>
  </si>
  <si>
    <t xml:space="preserve">r (mm)</t>
  </si>
  <si>
    <t xml:space="preserve">IPE-80</t>
  </si>
  <si>
    <t xml:space="preserve">80 × 46</t>
  </si>
  <si>
    <t xml:space="preserve">IPE-100</t>
  </si>
  <si>
    <t xml:space="preserve">100 × 55</t>
  </si>
  <si>
    <t xml:space="preserve">IPE-120</t>
  </si>
  <si>
    <t xml:space="preserve">120 × 64</t>
  </si>
  <si>
    <t xml:space="preserve">IPE-140</t>
  </si>
  <si>
    <t xml:space="preserve">140 × 73</t>
  </si>
  <si>
    <t xml:space="preserve">IPE-160</t>
  </si>
  <si>
    <t xml:space="preserve">160 × 82</t>
  </si>
  <si>
    <t xml:space="preserve">IPE-180</t>
  </si>
  <si>
    <t xml:space="preserve">180 × 91</t>
  </si>
  <si>
    <t xml:space="preserve">IPE-200</t>
  </si>
  <si>
    <t xml:space="preserve">IPE-220</t>
  </si>
  <si>
    <t xml:space="preserve">220 × 110</t>
  </si>
  <si>
    <t xml:space="preserve">IPE-240</t>
  </si>
  <si>
    <t xml:space="preserve">240 × 120</t>
  </si>
  <si>
    <t xml:space="preserve">IPE-270</t>
  </si>
  <si>
    <t xml:space="preserve">270 × 135</t>
  </si>
  <si>
    <t xml:space="preserve">IPE-300</t>
  </si>
  <si>
    <t xml:space="preserve">300 × 150</t>
  </si>
  <si>
    <t xml:space="preserve">IPE-330</t>
  </si>
  <si>
    <t xml:space="preserve">330 × 160</t>
  </si>
  <si>
    <t xml:space="preserve">IPE-360</t>
  </si>
  <si>
    <t xml:space="preserve">360 × 170</t>
  </si>
  <si>
    <t xml:space="preserve">IPE-400</t>
  </si>
  <si>
    <t xml:space="preserve">400 × 180</t>
  </si>
  <si>
    <t xml:space="preserve">IPE-450</t>
  </si>
  <si>
    <t xml:space="preserve">450 × 190</t>
  </si>
  <si>
    <t xml:space="preserve">IPE-500</t>
  </si>
  <si>
    <t xml:space="preserve">500 × 200</t>
  </si>
  <si>
    <t xml:space="preserve">IPE-550</t>
  </si>
  <si>
    <t xml:space="preserve">550 × 210</t>
  </si>
  <si>
    <t xml:space="preserve">IPE-600</t>
  </si>
  <si>
    <t xml:space="preserve">600 × 220</t>
  </si>
  <si>
    <t xml:space="preserve">HEA Profil Ölçü ve Ağırlık Tablosu</t>
  </si>
  <si>
    <t xml:space="preserve">HEA-100</t>
  </si>
  <si>
    <t xml:space="preserve">96 × 100</t>
  </si>
  <si>
    <t xml:space="preserve">HEA-120</t>
  </si>
  <si>
    <t xml:space="preserve">114 × 120</t>
  </si>
  <si>
    <t xml:space="preserve">HEA-140</t>
  </si>
  <si>
    <t xml:space="preserve">133 × 140</t>
  </si>
  <si>
    <t xml:space="preserve">HEA-160</t>
  </si>
  <si>
    <t xml:space="preserve">152 × 160</t>
  </si>
  <si>
    <t xml:space="preserve">HEA-180</t>
  </si>
  <si>
    <t xml:space="preserve">171 × 180</t>
  </si>
  <si>
    <t xml:space="preserve">HEA-200</t>
  </si>
  <si>
    <t xml:space="preserve">190 × 200</t>
  </si>
  <si>
    <t xml:space="preserve">HEA-220</t>
  </si>
  <si>
    <t xml:space="preserve">210 × 220</t>
  </si>
  <si>
    <t xml:space="preserve">HEA-240</t>
  </si>
  <si>
    <t xml:space="preserve">230 × 240</t>
  </si>
  <si>
    <t xml:space="preserve">HEA-260</t>
  </si>
  <si>
    <t xml:space="preserve">250 × 260</t>
  </si>
  <si>
    <t xml:space="preserve">HEA-280</t>
  </si>
  <si>
    <t xml:space="preserve">270 × 280</t>
  </si>
  <si>
    <t xml:space="preserve">HEA-300</t>
  </si>
  <si>
    <t xml:space="preserve">290 × 300</t>
  </si>
  <si>
    <t xml:space="preserve">HEA-320</t>
  </si>
  <si>
    <t xml:space="preserve">310 × 300</t>
  </si>
  <si>
    <t xml:space="preserve">HEA-340</t>
  </si>
  <si>
    <t xml:space="preserve">330 × 300</t>
  </si>
  <si>
    <t xml:space="preserve">HEA-360</t>
  </si>
  <si>
    <t xml:space="preserve">350 × 300</t>
  </si>
  <si>
    <t xml:space="preserve">HEA-400</t>
  </si>
  <si>
    <t xml:space="preserve">390 × 300</t>
  </si>
  <si>
    <t xml:space="preserve">HEA-450</t>
  </si>
  <si>
    <t xml:space="preserve">440 × 300</t>
  </si>
  <si>
    <t xml:space="preserve">HEA-500</t>
  </si>
  <si>
    <t xml:space="preserve">490 × 300</t>
  </si>
  <si>
    <t xml:space="preserve">HEA-550</t>
  </si>
  <si>
    <t xml:space="preserve">540 × 300</t>
  </si>
  <si>
    <t xml:space="preserve">HEA-600</t>
  </si>
  <si>
    <t xml:space="preserve">590 × 300</t>
  </si>
  <si>
    <t xml:space="preserve">HEA-650</t>
  </si>
  <si>
    <t xml:space="preserve">640 × 300</t>
  </si>
  <si>
    <t xml:space="preserve">HEA-700</t>
  </si>
  <si>
    <t xml:space="preserve">690 × 300</t>
  </si>
  <si>
    <t xml:space="preserve">HEA-800</t>
  </si>
  <si>
    <t xml:space="preserve">790 × 300</t>
  </si>
  <si>
    <t xml:space="preserve">HEA-900</t>
  </si>
  <si>
    <t xml:space="preserve">890 × 300</t>
  </si>
  <si>
    <t xml:space="preserve">HEA-1000</t>
  </si>
  <si>
    <t xml:space="preserve">990 × 300</t>
  </si>
  <si>
    <t xml:space="preserve">HEB Profil Ölçü ve Ağırlık Tablosu</t>
  </si>
  <si>
    <t xml:space="preserve">HEB-100</t>
  </si>
  <si>
    <t xml:space="preserve">HEB-120</t>
  </si>
  <si>
    <t xml:space="preserve">HEB-140</t>
  </si>
  <si>
    <t xml:space="preserve">HEB-160</t>
  </si>
  <si>
    <t xml:space="preserve">HEB-180</t>
  </si>
  <si>
    <t xml:space="preserve">HEB-200</t>
  </si>
  <si>
    <t xml:space="preserve">HEB-220</t>
  </si>
  <si>
    <t xml:space="preserve">HEB-240</t>
  </si>
  <si>
    <t xml:space="preserve">240 × 240</t>
  </si>
  <si>
    <t xml:space="preserve">HEB-260</t>
  </si>
  <si>
    <t xml:space="preserve">HEB-280</t>
  </si>
  <si>
    <t xml:space="preserve">280 × 280</t>
  </si>
  <si>
    <t xml:space="preserve">HEB-300</t>
  </si>
  <si>
    <t xml:space="preserve">HEB-320</t>
  </si>
  <si>
    <t xml:space="preserve">320 × 300</t>
  </si>
  <si>
    <t xml:space="preserve">HEB-340</t>
  </si>
  <si>
    <t xml:space="preserve">340 × 300</t>
  </si>
  <si>
    <t xml:space="preserve">HEB-360</t>
  </si>
  <si>
    <t xml:space="preserve">360 × 300</t>
  </si>
  <si>
    <t xml:space="preserve">HEB-400</t>
  </si>
  <si>
    <t xml:space="preserve">400 × 300</t>
  </si>
  <si>
    <t xml:space="preserve">HEB-450</t>
  </si>
  <si>
    <t xml:space="preserve">450 × 300</t>
  </si>
  <si>
    <t xml:space="preserve">HEB-500</t>
  </si>
  <si>
    <t xml:space="preserve">500 × 300</t>
  </si>
  <si>
    <t xml:space="preserve">HEB-550</t>
  </si>
  <si>
    <t xml:space="preserve">550 × 300</t>
  </si>
  <si>
    <t xml:space="preserve">HEB-600</t>
  </si>
  <si>
    <t xml:space="preserve">600 × 300</t>
  </si>
  <si>
    <t xml:space="preserve">HEB-650</t>
  </si>
  <si>
    <t xml:space="preserve">650 × 300</t>
  </si>
  <si>
    <t xml:space="preserve">HEB-700</t>
  </si>
  <si>
    <t xml:space="preserve">700 × 300</t>
  </si>
  <si>
    <t xml:space="preserve">HEB-800</t>
  </si>
  <si>
    <t xml:space="preserve">800 × 300</t>
  </si>
  <si>
    <t xml:space="preserve">HEB-900</t>
  </si>
  <si>
    <t xml:space="preserve">900 × 300</t>
  </si>
  <si>
    <t xml:space="preserve">HEB-1000</t>
  </si>
  <si>
    <t xml:space="preserve">1000 × 300</t>
  </si>
  <si>
    <t xml:space="preserve">HEM Profil Ölçü ve Ağırlık Tablosu</t>
  </si>
  <si>
    <t xml:space="preserve">HEM-100</t>
  </si>
  <si>
    <t xml:space="preserve">120 × 106</t>
  </si>
  <si>
    <t xml:space="preserve">HEM-120</t>
  </si>
  <si>
    <t xml:space="preserve">140 × 126</t>
  </si>
  <si>
    <t xml:space="preserve">HEM-140</t>
  </si>
  <si>
    <t xml:space="preserve">160 × 146</t>
  </si>
  <si>
    <t xml:space="preserve">HEM-160</t>
  </si>
  <si>
    <t xml:space="preserve">180 × 166</t>
  </si>
  <si>
    <t xml:space="preserve">HEM-180</t>
  </si>
  <si>
    <t xml:space="preserve">200 × 186</t>
  </si>
  <si>
    <t xml:space="preserve">HEM-200</t>
  </si>
  <si>
    <t xml:space="preserve">220 × 206</t>
  </si>
  <si>
    <t xml:space="preserve">HEM-220</t>
  </si>
  <si>
    <t xml:space="preserve">240 × 226</t>
  </si>
  <si>
    <t xml:space="preserve">HEM-240</t>
  </si>
  <si>
    <t xml:space="preserve">270 × 248</t>
  </si>
  <si>
    <t xml:space="preserve">HEM-260</t>
  </si>
  <si>
    <t xml:space="preserve">290 × 268</t>
  </si>
  <si>
    <t xml:space="preserve">HEM-280</t>
  </si>
  <si>
    <t xml:space="preserve">310 × 288</t>
  </si>
  <si>
    <t xml:space="preserve">HEM-300</t>
  </si>
  <si>
    <t xml:space="preserve">340 × 310</t>
  </si>
  <si>
    <t xml:space="preserve">HEM-320</t>
  </si>
  <si>
    <t xml:space="preserve">359 × 309</t>
  </si>
  <si>
    <t xml:space="preserve">HEM-340</t>
  </si>
  <si>
    <t xml:space="preserve">377 × 309</t>
  </si>
  <si>
    <t xml:space="preserve">HEM-360</t>
  </si>
  <si>
    <t xml:space="preserve">395 × 308</t>
  </si>
  <si>
    <t xml:space="preserve">HEM-400</t>
  </si>
  <si>
    <t xml:space="preserve">432 × 307</t>
  </si>
  <si>
    <t xml:space="preserve">HEM-450</t>
  </si>
  <si>
    <t xml:space="preserve">478 × 307</t>
  </si>
  <si>
    <t xml:space="preserve">HEM-500</t>
  </si>
  <si>
    <t xml:space="preserve">524 × 306</t>
  </si>
  <si>
    <t xml:space="preserve">HEM-550</t>
  </si>
  <si>
    <t xml:space="preserve">572 × 306</t>
  </si>
  <si>
    <t xml:space="preserve">HEM-600</t>
  </si>
  <si>
    <t xml:space="preserve">620 × 305</t>
  </si>
  <si>
    <t xml:space="preserve">HEM-650</t>
  </si>
  <si>
    <t xml:space="preserve">668 × 305</t>
  </si>
  <si>
    <t xml:space="preserve">HEM-700</t>
  </si>
  <si>
    <t xml:space="preserve">716 × 304</t>
  </si>
  <si>
    <t xml:space="preserve">HEM-800</t>
  </si>
  <si>
    <t xml:space="preserve">814 × 303</t>
  </si>
  <si>
    <t xml:space="preserve">HEM-900</t>
  </si>
  <si>
    <t xml:space="preserve">910 × 302</t>
  </si>
  <si>
    <t xml:space="preserve">HEM-1000</t>
  </si>
  <si>
    <t xml:space="preserve">1008 × 302</t>
  </si>
  <si>
    <t xml:space="preserve">NPI Profil Ölçü ve Ağırlık Tablosu</t>
  </si>
  <si>
    <t xml:space="preserve">Kesit değerleri DIN 1025-1 / DIN 1026-1 tablo değerleridir. Gerçek ağırlık haddehane toleranslarına göre değişebilir.</t>
  </si>
  <si>
    <t xml:space="preserve">NPI-80</t>
  </si>
  <si>
    <t xml:space="preserve">80 × 42</t>
  </si>
  <si>
    <t xml:space="preserve">NPI-100</t>
  </si>
  <si>
    <t xml:space="preserve">NPI-120</t>
  </si>
  <si>
    <t xml:space="preserve">120 × 58</t>
  </si>
  <si>
    <t xml:space="preserve">NPI-140</t>
  </si>
  <si>
    <t xml:space="preserve">140 × 66</t>
  </si>
  <si>
    <t xml:space="preserve">NPI-160</t>
  </si>
  <si>
    <t xml:space="preserve">160 × 74</t>
  </si>
  <si>
    <t xml:space="preserve">NPI-180</t>
  </si>
  <si>
    <t xml:space="preserve">180 × 82</t>
  </si>
  <si>
    <t xml:space="preserve">NPI-200</t>
  </si>
  <si>
    <t xml:space="preserve">200 × 90</t>
  </si>
  <si>
    <t xml:space="preserve">NPI-220</t>
  </si>
  <si>
    <t xml:space="preserve">220 × 98</t>
  </si>
  <si>
    <t xml:space="preserve">NPI-240</t>
  </si>
  <si>
    <t xml:space="preserve">240 × 106</t>
  </si>
  <si>
    <t xml:space="preserve">NPI-260</t>
  </si>
  <si>
    <t xml:space="preserve">260 × 113</t>
  </si>
  <si>
    <t xml:space="preserve">NPI-280</t>
  </si>
  <si>
    <t xml:space="preserve">280 × 119</t>
  </si>
  <si>
    <t xml:space="preserve">NPI-300</t>
  </si>
  <si>
    <t xml:space="preserve">300 × 125</t>
  </si>
  <si>
    <t xml:space="preserve">NPI-320</t>
  </si>
  <si>
    <t xml:space="preserve">320 × 131</t>
  </si>
  <si>
    <t xml:space="preserve">NPI-340</t>
  </si>
  <si>
    <t xml:space="preserve">340 × 137</t>
  </si>
  <si>
    <t xml:space="preserve">NPI-360</t>
  </si>
  <si>
    <t xml:space="preserve">360 × 143</t>
  </si>
  <si>
    <t xml:space="preserve">NPI-380</t>
  </si>
  <si>
    <t xml:space="preserve">380 × 149</t>
  </si>
  <si>
    <t xml:space="preserve">NPI-400</t>
  </si>
  <si>
    <t xml:space="preserve">400 × 155</t>
  </si>
  <si>
    <t xml:space="preserve">NPI-450</t>
  </si>
  <si>
    <t xml:space="preserve">450 × 170</t>
  </si>
  <si>
    <t xml:space="preserve">NPI-500</t>
  </si>
  <si>
    <t xml:space="preserve">500 × 185</t>
  </si>
  <si>
    <t xml:space="preserve">NPI-550</t>
  </si>
  <si>
    <t xml:space="preserve">550 × 200</t>
  </si>
  <si>
    <t xml:space="preserve">NPI-600</t>
  </si>
  <si>
    <t xml:space="preserve">600 × 215</t>
  </si>
  <si>
    <t xml:space="preserve">NPU Profil Ölçü ve Ağırlık Tablosu</t>
  </si>
  <si>
    <t xml:space="preserve">e (ağırlık merkezi) (cm)</t>
  </si>
  <si>
    <t xml:space="preserve">NPU-80</t>
  </si>
  <si>
    <t xml:space="preserve">80 × 45</t>
  </si>
  <si>
    <t xml:space="preserve">NPU-100</t>
  </si>
  <si>
    <t xml:space="preserve">NPU-120</t>
  </si>
  <si>
    <t xml:space="preserve">120 × 55</t>
  </si>
  <si>
    <t xml:space="preserve">NPU-140</t>
  </si>
  <si>
    <t xml:space="preserve">NPU-160</t>
  </si>
  <si>
    <t xml:space="preserve">160 × 65</t>
  </si>
  <si>
    <t xml:space="preserve">NPU-180</t>
  </si>
  <si>
    <t xml:space="preserve">180 × 70</t>
  </si>
  <si>
    <t xml:space="preserve">NPU-200</t>
  </si>
  <si>
    <t xml:space="preserve">200 × 75</t>
  </si>
  <si>
    <t xml:space="preserve">NPU-220</t>
  </si>
  <si>
    <t xml:space="preserve">220 × 80</t>
  </si>
  <si>
    <t xml:space="preserve">NPU-240</t>
  </si>
  <si>
    <t xml:space="preserve">240 × 85</t>
  </si>
  <si>
    <t xml:space="preserve">NPU-260</t>
  </si>
  <si>
    <t xml:space="preserve">260 × 90</t>
  </si>
  <si>
    <t xml:space="preserve">NPU-280</t>
  </si>
  <si>
    <t xml:space="preserve">280 × 95</t>
  </si>
  <si>
    <t xml:space="preserve">NPU-300</t>
  </si>
  <si>
    <t xml:space="preserve">NPU-320</t>
  </si>
  <si>
    <t xml:space="preserve">320 × 100</t>
  </si>
  <si>
    <t xml:space="preserve">NPU-350</t>
  </si>
  <si>
    <t xml:space="preserve">350 × 100</t>
  </si>
  <si>
    <t xml:space="preserve">NPU-380</t>
  </si>
  <si>
    <t xml:space="preserve">380 × 102</t>
  </si>
  <si>
    <t xml:space="preserve">NPU-400</t>
  </si>
  <si>
    <t xml:space="preserve">400 × 110</t>
  </si>
  <si>
    <t xml:space="preserve">UPE Profil Ölçü ve Ağırlık Tablosu</t>
  </si>
  <si>
    <t xml:space="preserve">Kesit değerleri nominal ölçüler, kök yarıçapı ve 7850 kg/m³ yoğunlukla hesaplanmıştır. Gerçek ağırlık haddehane toleranslarına göre değişebilir.</t>
  </si>
  <si>
    <t xml:space="preserve">UPE-80</t>
  </si>
  <si>
    <t xml:space="preserve">80 × 50</t>
  </si>
  <si>
    <t xml:space="preserve">UPE-100</t>
  </si>
  <si>
    <t xml:space="preserve">UPE-120</t>
  </si>
  <si>
    <t xml:space="preserve">UPE-140</t>
  </si>
  <si>
    <t xml:space="preserve">140 × 65</t>
  </si>
  <si>
    <t xml:space="preserve">UPE-160</t>
  </si>
  <si>
    <t xml:space="preserve">160 × 70</t>
  </si>
  <si>
    <t xml:space="preserve">UPE-180</t>
  </si>
  <si>
    <t xml:space="preserve">180 × 75</t>
  </si>
  <si>
    <t xml:space="preserve">UPE-200</t>
  </si>
  <si>
    <t xml:space="preserve">200 × 80</t>
  </si>
  <si>
    <t xml:space="preserve">UPE-220</t>
  </si>
  <si>
    <t xml:space="preserve">220 × 85</t>
  </si>
  <si>
    <t xml:space="preserve">UPE-240</t>
  </si>
  <si>
    <t xml:space="preserve">240 × 90</t>
  </si>
  <si>
    <t xml:space="preserve">UPE-270</t>
  </si>
  <si>
    <t xml:space="preserve">270 × 95</t>
  </si>
  <si>
    <t xml:space="preserve">UPE-300</t>
  </si>
  <si>
    <t xml:space="preserve">UPE-330</t>
  </si>
  <si>
    <t xml:space="preserve">330 × 105</t>
  </si>
  <si>
    <t xml:space="preserve">UPE-360</t>
  </si>
  <si>
    <t xml:space="preserve">360 × 110</t>
  </si>
  <si>
    <t xml:space="preserve">UPE-400</t>
  </si>
  <si>
    <t xml:space="preserve">400 × 115</t>
  </si>
  <si>
    <t xml:space="preserve">Köşebent (L Profil) · Eşit ve Eşit Olmayan Kenar Ölçü Tablosu</t>
  </si>
  <si>
    <t xml:space="preserve">Kesit değerleri kök ve uç yarıçaplarıyla hesaplanmıştır; gerçek ağırlık haddehane toleranslarına göre değişebilir.</t>
  </si>
  <si>
    <t xml:space="preserve">Kalınlık (mm)</t>
  </si>
  <si>
    <t xml:space="preserve">iv (min.) (cm)</t>
  </si>
  <si>
    <t xml:space="preserve">ey (cm)</t>
  </si>
  <si>
    <t xml:space="preserve">ex (cm)</t>
  </si>
  <si>
    <t xml:space="preserve">L-20X20X3</t>
  </si>
  <si>
    <t xml:space="preserve">Eşit kenar</t>
  </si>
  <si>
    <t xml:space="preserve">L-20X20X4</t>
  </si>
  <si>
    <t xml:space="preserve">L-25X25X3</t>
  </si>
  <si>
    <t xml:space="preserve">L-25X25X4</t>
  </si>
  <si>
    <t xml:space="preserve">L-25X25X5</t>
  </si>
  <si>
    <t xml:space="preserve">L-30X30X3</t>
  </si>
  <si>
    <t xml:space="preserve">L-30X30X4</t>
  </si>
  <si>
    <t xml:space="preserve">L-30X30X5</t>
  </si>
  <si>
    <t xml:space="preserve">L-35X35X4</t>
  </si>
  <si>
    <t xml:space="preserve">L-35X35X5</t>
  </si>
  <si>
    <t xml:space="preserve">L-40X40X4</t>
  </si>
  <si>
    <t xml:space="preserve">L-40X40X5</t>
  </si>
  <si>
    <t xml:space="preserve">L-40X40X6</t>
  </si>
  <si>
    <t xml:space="preserve">L-45X45X5</t>
  </si>
  <si>
    <t xml:space="preserve">L-45X45X6</t>
  </si>
  <si>
    <t xml:space="preserve">L-50X50X4</t>
  </si>
  <si>
    <t xml:space="preserve">L-50X50X5</t>
  </si>
  <si>
    <t xml:space="preserve">L-50X50X6</t>
  </si>
  <si>
    <t xml:space="preserve">L-60X60X5</t>
  </si>
  <si>
    <t xml:space="preserve">L-60X60X6</t>
  </si>
  <si>
    <t xml:space="preserve">L-60X60X8</t>
  </si>
  <si>
    <t xml:space="preserve">L-65X65X7</t>
  </si>
  <si>
    <t xml:space="preserve">65 × 65</t>
  </si>
  <si>
    <t xml:space="preserve">L-70X70X6</t>
  </si>
  <si>
    <t xml:space="preserve">L-70X70X7</t>
  </si>
  <si>
    <t xml:space="preserve">L-75X75X6</t>
  </si>
  <si>
    <t xml:space="preserve">75 × 75</t>
  </si>
  <si>
    <t xml:space="preserve">L-75X75X8</t>
  </si>
  <si>
    <t xml:space="preserve">L-80X80X8</t>
  </si>
  <si>
    <t xml:space="preserve">L-80X80X10</t>
  </si>
  <si>
    <t xml:space="preserve">L-90X90X7</t>
  </si>
  <si>
    <t xml:space="preserve">L-90X90X8</t>
  </si>
  <si>
    <t xml:space="preserve">L-90X90X9</t>
  </si>
  <si>
    <t xml:space="preserve">L-90X90X10</t>
  </si>
  <si>
    <t xml:space="preserve">L-100X100X8</t>
  </si>
  <si>
    <t xml:space="preserve">L-100X100X10</t>
  </si>
  <si>
    <t xml:space="preserve">L-100X100X12</t>
  </si>
  <si>
    <t xml:space="preserve">L-120X120X10</t>
  </si>
  <si>
    <t xml:space="preserve">L-120X120X12</t>
  </si>
  <si>
    <t xml:space="preserve">L-130X130X12</t>
  </si>
  <si>
    <t xml:space="preserve">130 × 130</t>
  </si>
  <si>
    <t xml:space="preserve">L-150X150X10</t>
  </si>
  <si>
    <t xml:space="preserve">L-150X150X12</t>
  </si>
  <si>
    <t xml:space="preserve">L-150X150X15</t>
  </si>
  <si>
    <t xml:space="preserve">L-160X160X15</t>
  </si>
  <si>
    <t xml:space="preserve">L-180X180X16</t>
  </si>
  <si>
    <t xml:space="preserve">L-180X180X18</t>
  </si>
  <si>
    <t xml:space="preserve">L-200X200X16</t>
  </si>
  <si>
    <t xml:space="preserve">L-200X200X18</t>
  </si>
  <si>
    <t xml:space="preserve">L-200X200X20</t>
  </si>
  <si>
    <t xml:space="preserve">L-200X200X24</t>
  </si>
  <si>
    <t xml:space="preserve">L-30X20X3</t>
  </si>
  <si>
    <t xml:space="preserve">Eşit olmayan</t>
  </si>
  <si>
    <t xml:space="preserve">L-30X20X4</t>
  </si>
  <si>
    <t xml:space="preserve">L-40X20X3</t>
  </si>
  <si>
    <t xml:space="preserve">L-40X20X4</t>
  </si>
  <si>
    <t xml:space="preserve">L-40X25X4</t>
  </si>
  <si>
    <t xml:space="preserve">40 × 25</t>
  </si>
  <si>
    <t xml:space="preserve">L-45X30X4</t>
  </si>
  <si>
    <t xml:space="preserve">45 × 30</t>
  </si>
  <si>
    <t xml:space="preserve">L-45X30X5</t>
  </si>
  <si>
    <t xml:space="preserve">L-50X30X5</t>
  </si>
  <si>
    <t xml:space="preserve">L-60X30X5</t>
  </si>
  <si>
    <t xml:space="preserve">L-60X30X6</t>
  </si>
  <si>
    <t xml:space="preserve">L-60X40X5</t>
  </si>
  <si>
    <t xml:space="preserve">L-60X40X6</t>
  </si>
  <si>
    <t xml:space="preserve">L-60X40X7</t>
  </si>
  <si>
    <t xml:space="preserve">L-65X50X5</t>
  </si>
  <si>
    <t xml:space="preserve">65 × 50</t>
  </si>
  <si>
    <t xml:space="preserve">L-65X50X7</t>
  </si>
  <si>
    <t xml:space="preserve">L-70X50X6</t>
  </si>
  <si>
    <t xml:space="preserve">L-75X50X6</t>
  </si>
  <si>
    <t xml:space="preserve">75 × 50</t>
  </si>
  <si>
    <t xml:space="preserve">L-75X50X7</t>
  </si>
  <si>
    <t xml:space="preserve">L-75X50X8</t>
  </si>
  <si>
    <t xml:space="preserve">L-80X40X6</t>
  </si>
  <si>
    <t xml:space="preserve">L-80X40X8</t>
  </si>
  <si>
    <t xml:space="preserve">L-80X60X7</t>
  </si>
  <si>
    <t xml:space="preserve">L-80X60X8</t>
  </si>
  <si>
    <t xml:space="preserve">L-100X50X6</t>
  </si>
  <si>
    <t xml:space="preserve">L-100X50X8</t>
  </si>
  <si>
    <t xml:space="preserve">L-100X50X10</t>
  </si>
  <si>
    <t xml:space="preserve">L-100X65X7</t>
  </si>
  <si>
    <t xml:space="preserve">100 × 65</t>
  </si>
  <si>
    <t xml:space="preserve">L-100X65X8</t>
  </si>
  <si>
    <t xml:space="preserve">L-100X65X10</t>
  </si>
  <si>
    <t xml:space="preserve">L-100X75X8</t>
  </si>
  <si>
    <t xml:space="preserve">100 × 75</t>
  </si>
  <si>
    <t xml:space="preserve">L-100X75X10</t>
  </si>
  <si>
    <t xml:space="preserve">L-100X75X12</t>
  </si>
  <si>
    <t xml:space="preserve">L-120X80X8</t>
  </si>
  <si>
    <t xml:space="preserve">L-120X80X10</t>
  </si>
  <si>
    <t xml:space="preserve">L-120X80X12</t>
  </si>
  <si>
    <t xml:space="preserve">L-125X75X8</t>
  </si>
  <si>
    <t xml:space="preserve">125 × 75</t>
  </si>
  <si>
    <t xml:space="preserve">L-125X75X10</t>
  </si>
  <si>
    <t xml:space="preserve">L-125X75X12</t>
  </si>
  <si>
    <t xml:space="preserve">L-150X75X9</t>
  </si>
  <si>
    <t xml:space="preserve">150 × 75</t>
  </si>
  <si>
    <t xml:space="preserve">L-150X75X10</t>
  </si>
  <si>
    <t xml:space="preserve">L-150X75X12</t>
  </si>
  <si>
    <t xml:space="preserve">L-150X75X15</t>
  </si>
  <si>
    <t xml:space="preserve">L-150X90X10</t>
  </si>
  <si>
    <t xml:space="preserve">150 × 90</t>
  </si>
  <si>
    <t xml:space="preserve">L-150X90X12</t>
  </si>
  <si>
    <t xml:space="preserve">L-150X90X15</t>
  </si>
  <si>
    <t xml:space="preserve">L-150X100X10</t>
  </si>
  <si>
    <t xml:space="preserve">L-150X100X12</t>
  </si>
  <si>
    <t xml:space="preserve">L-200X100X10</t>
  </si>
  <si>
    <t xml:space="preserve">L-200X100X12</t>
  </si>
  <si>
    <t xml:space="preserve">L-200X100X15</t>
  </si>
  <si>
    <t xml:space="preserve">L-200X150X12</t>
  </si>
  <si>
    <t xml:space="preserve">L-200X150X15</t>
  </si>
  <si>
    <t xml:space="preserve">T Profil · Eşit Kenar T Demir Ölçü Tablosu</t>
  </si>
  <si>
    <t xml:space="preserve">Değerler nominal ölçüler ve kök yarıçapıyla hesaplanmıştır; haddelenmiş T profilde gövde ve başlık hafif eğimli olduğundan gerçek ağırlık %2–3 farklı olabilir.</t>
  </si>
  <si>
    <t xml:space="preserve">Wx (min.) (cm³)</t>
  </si>
  <si>
    <t xml:space="preserve">e (başlık üstünden) (cm)</t>
  </si>
  <si>
    <t xml:space="preserve">T-20</t>
  </si>
  <si>
    <t xml:space="preserve">20 × 20 × 3</t>
  </si>
  <si>
    <t xml:space="preserve">T-25</t>
  </si>
  <si>
    <t xml:space="preserve">25 × 25 × 3,5</t>
  </si>
  <si>
    <t xml:space="preserve">T-30</t>
  </si>
  <si>
    <t xml:space="preserve">30 × 30 × 4</t>
  </si>
  <si>
    <t xml:space="preserve">T-35</t>
  </si>
  <si>
    <t xml:space="preserve">35 × 35 × 4,5</t>
  </si>
  <si>
    <t xml:space="preserve">T-40</t>
  </si>
  <si>
    <t xml:space="preserve">40 × 40 × 5</t>
  </si>
  <si>
    <t xml:space="preserve">T-45</t>
  </si>
  <si>
    <t xml:space="preserve">45 × 45 × 5,5</t>
  </si>
  <si>
    <t xml:space="preserve">T-50</t>
  </si>
  <si>
    <t xml:space="preserve">50 × 50 × 6</t>
  </si>
  <si>
    <t xml:space="preserve">T-60</t>
  </si>
  <si>
    <t xml:space="preserve">60 × 60 × 7</t>
  </si>
  <si>
    <t xml:space="preserve">T-70</t>
  </si>
  <si>
    <t xml:space="preserve">70 × 70 × 8</t>
  </si>
  <si>
    <t xml:space="preserve">T-80</t>
  </si>
  <si>
    <t xml:space="preserve">80 × 80 × 9</t>
  </si>
  <si>
    <t xml:space="preserve">T-100</t>
  </si>
  <si>
    <t xml:space="preserve">100 × 100 × 11</t>
  </si>
  <si>
    <t xml:space="preserve">T-120</t>
  </si>
  <si>
    <t xml:space="preserve">120 × 120 × 13</t>
  </si>
  <si>
    <t xml:space="preserve">T-140</t>
  </si>
  <si>
    <t xml:space="preserve">140 × 140 × 15</t>
  </si>
  <si>
    <t xml:space="preserve">Lama Demiri · Ölçü ve Ağırlık Tablosu</t>
  </si>
  <si>
    <t xml:space="preserve">Ağırlık, genişlik × kalınlık × 7850 kg/m³ ile hesaplanmıştır.</t>
  </si>
  <si>
    <t xml:space="preserve">LM-10X3</t>
  </si>
  <si>
    <t xml:space="preserve">10 × 3</t>
  </si>
  <si>
    <t xml:space="preserve">LM-10X4</t>
  </si>
  <si>
    <t xml:space="preserve">10 × 4</t>
  </si>
  <si>
    <t xml:space="preserve">LM-10X5</t>
  </si>
  <si>
    <t xml:space="preserve">10 × 5</t>
  </si>
  <si>
    <t xml:space="preserve">LM-12X3</t>
  </si>
  <si>
    <t xml:space="preserve">12 × 3</t>
  </si>
  <si>
    <t xml:space="preserve">LM-12X4</t>
  </si>
  <si>
    <t xml:space="preserve">12 × 4</t>
  </si>
  <si>
    <t xml:space="preserve">LM-12X5</t>
  </si>
  <si>
    <t xml:space="preserve">12 × 5</t>
  </si>
  <si>
    <t xml:space="preserve">LM-12X6</t>
  </si>
  <si>
    <t xml:space="preserve">12 × 6</t>
  </si>
  <si>
    <t xml:space="preserve">LM-15X3</t>
  </si>
  <si>
    <t xml:space="preserve">15 × 3</t>
  </si>
  <si>
    <t xml:space="preserve">LM-15X4</t>
  </si>
  <si>
    <t xml:space="preserve">15 × 4</t>
  </si>
  <si>
    <t xml:space="preserve">LM-15X5</t>
  </si>
  <si>
    <t xml:space="preserve">15 × 5</t>
  </si>
  <si>
    <t xml:space="preserve">LM-15X6</t>
  </si>
  <si>
    <t xml:space="preserve">15 × 6</t>
  </si>
  <si>
    <t xml:space="preserve">LM-16X3</t>
  </si>
  <si>
    <t xml:space="preserve">16 × 3</t>
  </si>
  <si>
    <t xml:space="preserve">LM-16X4</t>
  </si>
  <si>
    <t xml:space="preserve">16 × 4</t>
  </si>
  <si>
    <t xml:space="preserve">LM-16X5</t>
  </si>
  <si>
    <t xml:space="preserve">16 × 5</t>
  </si>
  <si>
    <t xml:space="preserve">LM-16X6</t>
  </si>
  <si>
    <t xml:space="preserve">16 × 6</t>
  </si>
  <si>
    <t xml:space="preserve">LM-16X8</t>
  </si>
  <si>
    <t xml:space="preserve">16 × 8</t>
  </si>
  <si>
    <t xml:space="preserve">LM-20X3</t>
  </si>
  <si>
    <t xml:space="preserve">20 × 3</t>
  </si>
  <si>
    <t xml:space="preserve">LM-20X4</t>
  </si>
  <si>
    <t xml:space="preserve">20 × 4</t>
  </si>
  <si>
    <t xml:space="preserve">LM-20X5</t>
  </si>
  <si>
    <t xml:space="preserve">20 × 5</t>
  </si>
  <si>
    <t xml:space="preserve">LM-20X6</t>
  </si>
  <si>
    <t xml:space="preserve">20 × 6</t>
  </si>
  <si>
    <t xml:space="preserve">LM-20X8</t>
  </si>
  <si>
    <t xml:space="preserve">20 × 8</t>
  </si>
  <si>
    <t xml:space="preserve">LM-20X10</t>
  </si>
  <si>
    <t xml:space="preserve">LM-25X3</t>
  </si>
  <si>
    <t xml:space="preserve">25 × 3</t>
  </si>
  <si>
    <t xml:space="preserve">LM-25X4</t>
  </si>
  <si>
    <t xml:space="preserve">25 × 4</t>
  </si>
  <si>
    <t xml:space="preserve">LM-25X5</t>
  </si>
  <si>
    <t xml:space="preserve">25 × 5</t>
  </si>
  <si>
    <t xml:space="preserve">LM-25X6</t>
  </si>
  <si>
    <t xml:space="preserve">25 × 6</t>
  </si>
  <si>
    <t xml:space="preserve">LM-25X8</t>
  </si>
  <si>
    <t xml:space="preserve">25 × 8</t>
  </si>
  <si>
    <t xml:space="preserve">LM-25X10</t>
  </si>
  <si>
    <t xml:space="preserve">25 × 10</t>
  </si>
  <si>
    <t xml:space="preserve">LM-25X12</t>
  </si>
  <si>
    <t xml:space="preserve">25 × 12</t>
  </si>
  <si>
    <t xml:space="preserve">LM-30X3</t>
  </si>
  <si>
    <t xml:space="preserve">30 × 3</t>
  </si>
  <si>
    <t xml:space="preserve">LM-30X4</t>
  </si>
  <si>
    <t xml:space="preserve">30 × 4</t>
  </si>
  <si>
    <t xml:space="preserve">LM-30X5</t>
  </si>
  <si>
    <t xml:space="preserve">30 × 5</t>
  </si>
  <si>
    <t xml:space="preserve">LM-30X6</t>
  </si>
  <si>
    <t xml:space="preserve">30 × 6</t>
  </si>
  <si>
    <t xml:space="preserve">LM-30X8</t>
  </si>
  <si>
    <t xml:space="preserve">30 × 8</t>
  </si>
  <si>
    <t xml:space="preserve">LM-30X10</t>
  </si>
  <si>
    <t xml:space="preserve">30 × 10</t>
  </si>
  <si>
    <t xml:space="preserve">LM-30X12</t>
  </si>
  <si>
    <t xml:space="preserve">30 × 12</t>
  </si>
  <si>
    <t xml:space="preserve">LM-30X15</t>
  </si>
  <si>
    <t xml:space="preserve">LM-35X3</t>
  </si>
  <si>
    <t xml:space="preserve">35 × 3</t>
  </si>
  <si>
    <t xml:space="preserve">LM-35X4</t>
  </si>
  <si>
    <t xml:space="preserve">35 × 4</t>
  </si>
  <si>
    <t xml:space="preserve">LM-35X5</t>
  </si>
  <si>
    <t xml:space="preserve">35 × 5</t>
  </si>
  <si>
    <t xml:space="preserve">LM-35X6</t>
  </si>
  <si>
    <t xml:space="preserve">35 × 6</t>
  </si>
  <si>
    <t xml:space="preserve">LM-35X8</t>
  </si>
  <si>
    <t xml:space="preserve">35 × 8</t>
  </si>
  <si>
    <t xml:space="preserve">LM-35X10</t>
  </si>
  <si>
    <t xml:space="preserve">35 × 10</t>
  </si>
  <si>
    <t xml:space="preserve">LM-35X12</t>
  </si>
  <si>
    <t xml:space="preserve">35 × 12</t>
  </si>
  <si>
    <t xml:space="preserve">LM-35X15</t>
  </si>
  <si>
    <t xml:space="preserve">35 × 15</t>
  </si>
  <si>
    <t xml:space="preserve">LM-40X3</t>
  </si>
  <si>
    <t xml:space="preserve">40 × 3</t>
  </si>
  <si>
    <t xml:space="preserve">LM-40X4</t>
  </si>
  <si>
    <t xml:space="preserve">40 × 4</t>
  </si>
  <si>
    <t xml:space="preserve">LM-40X5</t>
  </si>
  <si>
    <t xml:space="preserve">40 × 5</t>
  </si>
  <si>
    <t xml:space="preserve">LM-40X6</t>
  </si>
  <si>
    <t xml:space="preserve">40 × 6</t>
  </si>
  <si>
    <t xml:space="preserve">LM-40X8</t>
  </si>
  <si>
    <t xml:space="preserve">40 × 8</t>
  </si>
  <si>
    <t xml:space="preserve">LM-40X10</t>
  </si>
  <si>
    <t xml:space="preserve">LM-40X12</t>
  </si>
  <si>
    <t xml:space="preserve">40 × 12</t>
  </si>
  <si>
    <t xml:space="preserve">LM-40X15</t>
  </si>
  <si>
    <t xml:space="preserve">LM-40X20</t>
  </si>
  <si>
    <t xml:space="preserve">LM-45X3</t>
  </si>
  <si>
    <t xml:space="preserve">45 × 3</t>
  </si>
  <si>
    <t xml:space="preserve">LM-45X4</t>
  </si>
  <si>
    <t xml:space="preserve">45 × 4</t>
  </si>
  <si>
    <t xml:space="preserve">LM-45X5</t>
  </si>
  <si>
    <t xml:space="preserve">45 × 5</t>
  </si>
  <si>
    <t xml:space="preserve">LM-45X6</t>
  </si>
  <si>
    <t xml:space="preserve">45 × 6</t>
  </si>
  <si>
    <t xml:space="preserve">LM-45X8</t>
  </si>
  <si>
    <t xml:space="preserve">45 × 8</t>
  </si>
  <si>
    <t xml:space="preserve">LM-45X10</t>
  </si>
  <si>
    <t xml:space="preserve">45 × 10</t>
  </si>
  <si>
    <t xml:space="preserve">LM-45X12</t>
  </si>
  <si>
    <t xml:space="preserve">45 × 12</t>
  </si>
  <si>
    <t xml:space="preserve">LM-45X15</t>
  </si>
  <si>
    <t xml:space="preserve">45 × 15</t>
  </si>
  <si>
    <t xml:space="preserve">LM-45X20</t>
  </si>
  <si>
    <t xml:space="preserve">45 × 20</t>
  </si>
  <si>
    <t xml:space="preserve">LM-50X3</t>
  </si>
  <si>
    <t xml:space="preserve">50 × 3</t>
  </si>
  <si>
    <t xml:space="preserve">LM-50X4</t>
  </si>
  <si>
    <t xml:space="preserve">50 × 4</t>
  </si>
  <si>
    <t xml:space="preserve">LM-50X5</t>
  </si>
  <si>
    <t xml:space="preserve">50 × 5</t>
  </si>
  <si>
    <t xml:space="preserve">LM-50X6</t>
  </si>
  <si>
    <t xml:space="preserve">50 × 6</t>
  </si>
  <si>
    <t xml:space="preserve">LM-50X8</t>
  </si>
  <si>
    <t xml:space="preserve">50 × 8</t>
  </si>
  <si>
    <t xml:space="preserve">LM-50X10</t>
  </si>
  <si>
    <t xml:space="preserve">50 × 10</t>
  </si>
  <si>
    <t xml:space="preserve">LM-50X12</t>
  </si>
  <si>
    <t xml:space="preserve">50 × 12</t>
  </si>
  <si>
    <t xml:space="preserve">LM-50X15</t>
  </si>
  <si>
    <t xml:space="preserve">50 × 15</t>
  </si>
  <si>
    <t xml:space="preserve">LM-50X20</t>
  </si>
  <si>
    <t xml:space="preserve">LM-50X25</t>
  </si>
  <si>
    <t xml:space="preserve">LM-60X3</t>
  </si>
  <si>
    <t xml:space="preserve">60 × 3</t>
  </si>
  <si>
    <t xml:space="preserve">LM-60X4</t>
  </si>
  <si>
    <t xml:space="preserve">60 × 4</t>
  </si>
  <si>
    <t xml:space="preserve">LM-60X5</t>
  </si>
  <si>
    <t xml:space="preserve">60 × 5</t>
  </si>
  <si>
    <t xml:space="preserve">LM-60X6</t>
  </si>
  <si>
    <t xml:space="preserve">60 × 6</t>
  </si>
  <si>
    <t xml:space="preserve">LM-60X8</t>
  </si>
  <si>
    <t xml:space="preserve">60 × 8</t>
  </si>
  <si>
    <t xml:space="preserve">LM-60X10</t>
  </si>
  <si>
    <t xml:space="preserve">60 × 10</t>
  </si>
  <si>
    <t xml:space="preserve">LM-60X12</t>
  </si>
  <si>
    <t xml:space="preserve">60 × 12</t>
  </si>
  <si>
    <t xml:space="preserve">LM-60X15</t>
  </si>
  <si>
    <t xml:space="preserve">60 × 15</t>
  </si>
  <si>
    <t xml:space="preserve">LM-60X20</t>
  </si>
  <si>
    <t xml:space="preserve">LM-60X25</t>
  </si>
  <si>
    <t xml:space="preserve">60 × 25</t>
  </si>
  <si>
    <t xml:space="preserve">LM-60X30</t>
  </si>
  <si>
    <t xml:space="preserve">LM-70X3</t>
  </si>
  <si>
    <t xml:space="preserve">70 × 3</t>
  </si>
  <si>
    <t xml:space="preserve">LM-70X4</t>
  </si>
  <si>
    <t xml:space="preserve">70 × 4</t>
  </si>
  <si>
    <t xml:space="preserve">LM-70X5</t>
  </si>
  <si>
    <t xml:space="preserve">70 × 5</t>
  </si>
  <si>
    <t xml:space="preserve">LM-70X6</t>
  </si>
  <si>
    <t xml:space="preserve">70 × 6</t>
  </si>
  <si>
    <t xml:space="preserve">LM-70X8</t>
  </si>
  <si>
    <t xml:space="preserve">70 × 8</t>
  </si>
  <si>
    <t xml:space="preserve">LM-70X10</t>
  </si>
  <si>
    <t xml:space="preserve">70 × 10</t>
  </si>
  <si>
    <t xml:space="preserve">LM-70X12</t>
  </si>
  <si>
    <t xml:space="preserve">70 × 12</t>
  </si>
  <si>
    <t xml:space="preserve">LM-70X15</t>
  </si>
  <si>
    <t xml:space="preserve">70 × 15</t>
  </si>
  <si>
    <t xml:space="preserve">LM-70X20</t>
  </si>
  <si>
    <t xml:space="preserve">70 × 20</t>
  </si>
  <si>
    <t xml:space="preserve">LM-70X25</t>
  </si>
  <si>
    <t xml:space="preserve">70 × 25</t>
  </si>
  <si>
    <t xml:space="preserve">LM-70X30</t>
  </si>
  <si>
    <t xml:space="preserve">LM-80X3</t>
  </si>
  <si>
    <t xml:space="preserve">80 × 3</t>
  </si>
  <si>
    <t xml:space="preserve">LM-80X4</t>
  </si>
  <si>
    <t xml:space="preserve">80 × 4</t>
  </si>
  <si>
    <t xml:space="preserve">LM-80X5</t>
  </si>
  <si>
    <t xml:space="preserve">80 × 5</t>
  </si>
  <si>
    <t xml:space="preserve">LM-80X6</t>
  </si>
  <si>
    <t xml:space="preserve">80 × 6</t>
  </si>
  <si>
    <t xml:space="preserve">LM-80X8</t>
  </si>
  <si>
    <t xml:space="preserve">80 × 8</t>
  </si>
  <si>
    <t xml:space="preserve">LM-80X10</t>
  </si>
  <si>
    <t xml:space="preserve">80 × 10</t>
  </si>
  <si>
    <t xml:space="preserve">LM-80X12</t>
  </si>
  <si>
    <t xml:space="preserve">80 × 12</t>
  </si>
  <si>
    <t xml:space="preserve">LM-80X15</t>
  </si>
  <si>
    <t xml:space="preserve">80 × 15</t>
  </si>
  <si>
    <t xml:space="preserve">LM-80X20</t>
  </si>
  <si>
    <t xml:space="preserve">LM-80X25</t>
  </si>
  <si>
    <t xml:space="preserve">80 × 25</t>
  </si>
  <si>
    <t xml:space="preserve">LM-80X30</t>
  </si>
  <si>
    <t xml:space="preserve">80 × 30</t>
  </si>
  <si>
    <t xml:space="preserve">LM-90X3</t>
  </si>
  <si>
    <t xml:space="preserve">90 × 3</t>
  </si>
  <si>
    <t xml:space="preserve">LM-90X4</t>
  </si>
  <si>
    <t xml:space="preserve">90 × 4</t>
  </si>
  <si>
    <t xml:space="preserve">LM-90X5</t>
  </si>
  <si>
    <t xml:space="preserve">90 × 5</t>
  </si>
  <si>
    <t xml:space="preserve">LM-90X6</t>
  </si>
  <si>
    <t xml:space="preserve">90 × 6</t>
  </si>
  <si>
    <t xml:space="preserve">LM-90X8</t>
  </si>
  <si>
    <t xml:space="preserve">90 × 8</t>
  </si>
  <si>
    <t xml:space="preserve">LM-90X10</t>
  </si>
  <si>
    <t xml:space="preserve">90 × 10</t>
  </si>
  <si>
    <t xml:space="preserve">LM-90X12</t>
  </si>
  <si>
    <t xml:space="preserve">90 × 12</t>
  </si>
  <si>
    <t xml:space="preserve">LM-90X15</t>
  </si>
  <si>
    <t xml:space="preserve">90 × 15</t>
  </si>
  <si>
    <t xml:space="preserve">LM-90X20</t>
  </si>
  <si>
    <t xml:space="preserve">90 × 20</t>
  </si>
  <si>
    <t xml:space="preserve">LM-90X25</t>
  </si>
  <si>
    <t xml:space="preserve">90 × 25</t>
  </si>
  <si>
    <t xml:space="preserve">LM-90X30</t>
  </si>
  <si>
    <t xml:space="preserve">90 × 30</t>
  </si>
  <si>
    <t xml:space="preserve">LM-100X5</t>
  </si>
  <si>
    <t xml:space="preserve">100 × 5</t>
  </si>
  <si>
    <t xml:space="preserve">LM-100X6</t>
  </si>
  <si>
    <t xml:space="preserve">100 × 6</t>
  </si>
  <si>
    <t xml:space="preserve">LM-100X8</t>
  </si>
  <si>
    <t xml:space="preserve">100 × 8</t>
  </si>
  <si>
    <t xml:space="preserve">LM-100X10</t>
  </si>
  <si>
    <t xml:space="preserve">100 × 10</t>
  </si>
  <si>
    <t xml:space="preserve">LM-100X12</t>
  </si>
  <si>
    <t xml:space="preserve">100 × 12</t>
  </si>
  <si>
    <t xml:space="preserve">LM-100X15</t>
  </si>
  <si>
    <t xml:space="preserve">100 × 15</t>
  </si>
  <si>
    <t xml:space="preserve">LM-100X20</t>
  </si>
  <si>
    <t xml:space="preserve">LM-100X25</t>
  </si>
  <si>
    <t xml:space="preserve">100 × 25</t>
  </si>
  <si>
    <t xml:space="preserve">LM-100X30</t>
  </si>
  <si>
    <t xml:space="preserve">LM-110X5</t>
  </si>
  <si>
    <t xml:space="preserve">110 × 5</t>
  </si>
  <si>
    <t xml:space="preserve">LM-110X6</t>
  </si>
  <si>
    <t xml:space="preserve">110 × 6</t>
  </si>
  <si>
    <t xml:space="preserve">LM-110X8</t>
  </si>
  <si>
    <t xml:space="preserve">110 × 8</t>
  </si>
  <si>
    <t xml:space="preserve">LM-110X10</t>
  </si>
  <si>
    <t xml:space="preserve">110 × 10</t>
  </si>
  <si>
    <t xml:space="preserve">LM-110X12</t>
  </si>
  <si>
    <t xml:space="preserve">110 × 12</t>
  </si>
  <si>
    <t xml:space="preserve">LM-110X15</t>
  </si>
  <si>
    <t xml:space="preserve">110 × 15</t>
  </si>
  <si>
    <t xml:space="preserve">LM-110X20</t>
  </si>
  <si>
    <t xml:space="preserve">110 × 20</t>
  </si>
  <si>
    <t xml:space="preserve">LM-110X25</t>
  </si>
  <si>
    <t xml:space="preserve">110 × 25</t>
  </si>
  <si>
    <t xml:space="preserve">LM-110X30</t>
  </si>
  <si>
    <t xml:space="preserve">110 × 30</t>
  </si>
  <si>
    <t xml:space="preserve">LM-120X5</t>
  </si>
  <si>
    <t xml:space="preserve">120 × 5</t>
  </si>
  <si>
    <t xml:space="preserve">LM-120X6</t>
  </si>
  <si>
    <t xml:space="preserve">120 × 6</t>
  </si>
  <si>
    <t xml:space="preserve">LM-120X8</t>
  </si>
  <si>
    <t xml:space="preserve">120 × 8</t>
  </si>
  <si>
    <t xml:space="preserve">LM-120X10</t>
  </si>
  <si>
    <t xml:space="preserve">120 × 10</t>
  </si>
  <si>
    <t xml:space="preserve">LM-120X12</t>
  </si>
  <si>
    <t xml:space="preserve">120 × 12</t>
  </si>
  <si>
    <t xml:space="preserve">LM-120X15</t>
  </si>
  <si>
    <t xml:space="preserve">120 × 15</t>
  </si>
  <si>
    <t xml:space="preserve">LM-120X20</t>
  </si>
  <si>
    <t xml:space="preserve">120 × 20</t>
  </si>
  <si>
    <t xml:space="preserve">LM-120X25</t>
  </si>
  <si>
    <t xml:space="preserve">120 × 25</t>
  </si>
  <si>
    <t xml:space="preserve">LM-120X30</t>
  </si>
  <si>
    <t xml:space="preserve">120 × 30</t>
  </si>
  <si>
    <t xml:space="preserve">LM-130X5</t>
  </si>
  <si>
    <t xml:space="preserve">130 × 5</t>
  </si>
  <si>
    <t xml:space="preserve">LM-130X6</t>
  </si>
  <si>
    <t xml:space="preserve">130 × 6</t>
  </si>
  <si>
    <t xml:space="preserve">LM-130X8</t>
  </si>
  <si>
    <t xml:space="preserve">130 × 8</t>
  </si>
  <si>
    <t xml:space="preserve">LM-130X10</t>
  </si>
  <si>
    <t xml:space="preserve">130 × 10</t>
  </si>
  <si>
    <t xml:space="preserve">LM-130X12</t>
  </si>
  <si>
    <t xml:space="preserve">130 × 12</t>
  </si>
  <si>
    <t xml:space="preserve">LM-130X15</t>
  </si>
  <si>
    <t xml:space="preserve">130 × 15</t>
  </si>
  <si>
    <t xml:space="preserve">LM-130X20</t>
  </si>
  <si>
    <t xml:space="preserve">130 × 20</t>
  </si>
  <si>
    <t xml:space="preserve">LM-130X25</t>
  </si>
  <si>
    <t xml:space="preserve">130 × 25</t>
  </si>
  <si>
    <t xml:space="preserve">LM-130X30</t>
  </si>
  <si>
    <t xml:space="preserve">130 × 30</t>
  </si>
  <si>
    <t xml:space="preserve">LM-140X5</t>
  </si>
  <si>
    <t xml:space="preserve">140 × 5</t>
  </si>
  <si>
    <t xml:space="preserve">LM-140X6</t>
  </si>
  <si>
    <t xml:space="preserve">140 × 6</t>
  </si>
  <si>
    <t xml:space="preserve">LM-140X8</t>
  </si>
  <si>
    <t xml:space="preserve">140 × 8</t>
  </si>
  <si>
    <t xml:space="preserve">LM-140X10</t>
  </si>
  <si>
    <t xml:space="preserve">140 × 10</t>
  </si>
  <si>
    <t xml:space="preserve">LM-140X12</t>
  </si>
  <si>
    <t xml:space="preserve">140 × 12</t>
  </si>
  <si>
    <t xml:space="preserve">LM-140X15</t>
  </si>
  <si>
    <t xml:space="preserve">140 × 15</t>
  </si>
  <si>
    <t xml:space="preserve">LM-140X20</t>
  </si>
  <si>
    <t xml:space="preserve">140 × 20</t>
  </si>
  <si>
    <t xml:space="preserve">LM-140X25</t>
  </si>
  <si>
    <t xml:space="preserve">140 × 25</t>
  </si>
  <si>
    <t xml:space="preserve">LM-140X30</t>
  </si>
  <si>
    <t xml:space="preserve">140 × 30</t>
  </si>
  <si>
    <t xml:space="preserve">LM-150X5</t>
  </si>
  <si>
    <t xml:space="preserve">150 × 5</t>
  </si>
  <si>
    <t xml:space="preserve">LM-150X6</t>
  </si>
  <si>
    <t xml:space="preserve">150 × 6</t>
  </si>
  <si>
    <t xml:space="preserve">LM-150X8</t>
  </si>
  <si>
    <t xml:space="preserve">150 × 8</t>
  </si>
  <si>
    <t xml:space="preserve">LM-150X10</t>
  </si>
  <si>
    <t xml:space="preserve">150 × 10</t>
  </si>
  <si>
    <t xml:space="preserve">LM-150X12</t>
  </si>
  <si>
    <t xml:space="preserve">150 × 12</t>
  </si>
  <si>
    <t xml:space="preserve">LM-150X15</t>
  </si>
  <si>
    <t xml:space="preserve">150 × 15</t>
  </si>
  <si>
    <t xml:space="preserve">LM-150X20</t>
  </si>
  <si>
    <t xml:space="preserve">150 × 20</t>
  </si>
  <si>
    <t xml:space="preserve">LM-150X25</t>
  </si>
  <si>
    <t xml:space="preserve">150 × 25</t>
  </si>
  <si>
    <t xml:space="preserve">LM-150X30</t>
  </si>
  <si>
    <t xml:space="preserve">150 × 30</t>
  </si>
  <si>
    <t xml:space="preserve">LM-160X5</t>
  </si>
  <si>
    <t xml:space="preserve">160 × 5</t>
  </si>
  <si>
    <t xml:space="preserve">LM-160X6</t>
  </si>
  <si>
    <t xml:space="preserve">160 × 6</t>
  </si>
  <si>
    <t xml:space="preserve">LM-160X8</t>
  </si>
  <si>
    <t xml:space="preserve">160 × 8</t>
  </si>
  <si>
    <t xml:space="preserve">LM-160X10</t>
  </si>
  <si>
    <t xml:space="preserve">160 × 10</t>
  </si>
  <si>
    <t xml:space="preserve">LM-160X12</t>
  </si>
  <si>
    <t xml:space="preserve">160 × 12</t>
  </si>
  <si>
    <t xml:space="preserve">LM-160X15</t>
  </si>
  <si>
    <t xml:space="preserve">160 × 15</t>
  </si>
  <si>
    <t xml:space="preserve">LM-160X20</t>
  </si>
  <si>
    <t xml:space="preserve">160 × 20</t>
  </si>
  <si>
    <t xml:space="preserve">LM-160X25</t>
  </si>
  <si>
    <t xml:space="preserve">160 × 25</t>
  </si>
  <si>
    <t xml:space="preserve">LM-160X30</t>
  </si>
  <si>
    <t xml:space="preserve">160 × 30</t>
  </si>
  <si>
    <t xml:space="preserve">LM-180X5</t>
  </si>
  <si>
    <t xml:space="preserve">180 × 5</t>
  </si>
  <si>
    <t xml:space="preserve">LM-180X6</t>
  </si>
  <si>
    <t xml:space="preserve">180 × 6</t>
  </si>
  <si>
    <t xml:space="preserve">LM-180X8</t>
  </si>
  <si>
    <t xml:space="preserve">180 × 8</t>
  </si>
  <si>
    <t xml:space="preserve">LM-180X10</t>
  </si>
  <si>
    <t xml:space="preserve">180 × 10</t>
  </si>
  <si>
    <t xml:space="preserve">LM-180X12</t>
  </si>
  <si>
    <t xml:space="preserve">180 × 12</t>
  </si>
  <si>
    <t xml:space="preserve">LM-180X15</t>
  </si>
  <si>
    <t xml:space="preserve">180 × 15</t>
  </si>
  <si>
    <t xml:space="preserve">LM-180X20</t>
  </si>
  <si>
    <t xml:space="preserve">180 × 20</t>
  </si>
  <si>
    <t xml:space="preserve">LM-180X25</t>
  </si>
  <si>
    <t xml:space="preserve">180 × 25</t>
  </si>
  <si>
    <t xml:space="preserve">LM-180X30</t>
  </si>
  <si>
    <t xml:space="preserve">180 × 30</t>
  </si>
  <si>
    <t xml:space="preserve">LM-200X5</t>
  </si>
  <si>
    <t xml:space="preserve">200 × 5</t>
  </si>
  <si>
    <t xml:space="preserve">LM-200X6</t>
  </si>
  <si>
    <t xml:space="preserve">200 × 6</t>
  </si>
  <si>
    <t xml:space="preserve">LM-200X8</t>
  </si>
  <si>
    <t xml:space="preserve">200 × 8</t>
  </si>
  <si>
    <t xml:space="preserve">LM-200X10</t>
  </si>
  <si>
    <t xml:space="preserve">200 × 10</t>
  </si>
  <si>
    <t xml:space="preserve">LM-200X12</t>
  </si>
  <si>
    <t xml:space="preserve">200 × 12</t>
  </si>
  <si>
    <t xml:space="preserve">LM-200X15</t>
  </si>
  <si>
    <t xml:space="preserve">200 × 15</t>
  </si>
  <si>
    <t xml:space="preserve">LM-200X20</t>
  </si>
  <si>
    <t xml:space="preserve">200 × 20</t>
  </si>
  <si>
    <t xml:space="preserve">LM-200X25</t>
  </si>
  <si>
    <t xml:space="preserve">200 × 25</t>
  </si>
  <si>
    <t xml:space="preserve">LM-200X30</t>
  </si>
  <si>
    <t xml:space="preserve">200 × 30</t>
  </si>
  <si>
    <t xml:space="preserve">Sac Çeşitleri · DKP, HRP, Galvaniz ve Baklavalı Sac Ağırlık Tablosu</t>
  </si>
  <si>
    <t xml:space="preserve">Düz saclar 7,85 kg/m²/mm ile hesaplanmıştır. Galvanizde Z275 kaplama (0,275 kg/m²), baklavalıda desen payı (yaklaşık 2 kg/m²) eklenmiştir.</t>
  </si>
  <si>
    <t xml:space="preserve">kg/m²</t>
  </si>
  <si>
    <t xml:space="preserve">1000×2000 plaka (kg)</t>
  </si>
  <si>
    <t xml:space="preserve">1250×2500 plaka (kg)</t>
  </si>
  <si>
    <t xml:space="preserve">1500×3000 plaka (kg)</t>
  </si>
  <si>
    <t xml:space="preserve">1500×6000 plaka (kg)</t>
  </si>
  <si>
    <t xml:space="preserve">2000×6000 plaka (kg)</t>
  </si>
  <si>
    <t xml:space="preserve">DKP-0.4</t>
  </si>
  <si>
    <t xml:space="preserve">DKP</t>
  </si>
  <si>
    <t xml:space="preserve">0,4 mm</t>
  </si>
  <si>
    <t xml:space="preserve">DKP-0.5</t>
  </si>
  <si>
    <t xml:space="preserve">0,5 mm</t>
  </si>
  <si>
    <t xml:space="preserve">DKP-0.6</t>
  </si>
  <si>
    <t xml:space="preserve">0,6 mm</t>
  </si>
  <si>
    <t xml:space="preserve">DKP-0.7</t>
  </si>
  <si>
    <t xml:space="preserve">0,7 mm</t>
  </si>
  <si>
    <t xml:space="preserve">DKP-0.8</t>
  </si>
  <si>
    <t xml:space="preserve">0,8 mm</t>
  </si>
  <si>
    <t xml:space="preserve">DKP-0.9</t>
  </si>
  <si>
    <t xml:space="preserve">0,9 mm</t>
  </si>
  <si>
    <t xml:space="preserve">DKP-1</t>
  </si>
  <si>
    <t xml:space="preserve">1 mm</t>
  </si>
  <si>
    <t xml:space="preserve">DKP-1.2</t>
  </si>
  <si>
    <t xml:space="preserve">1,2 mm</t>
  </si>
  <si>
    <t xml:space="preserve">DKP-1.5</t>
  </si>
  <si>
    <t xml:space="preserve">1,5 mm</t>
  </si>
  <si>
    <t xml:space="preserve">DKP-2</t>
  </si>
  <si>
    <t xml:space="preserve">2 mm</t>
  </si>
  <si>
    <t xml:space="preserve">DKP-2.5</t>
  </si>
  <si>
    <t xml:space="preserve">2,5 mm</t>
  </si>
  <si>
    <t xml:space="preserve">DKP-3</t>
  </si>
  <si>
    <t xml:space="preserve">3 mm</t>
  </si>
  <si>
    <t xml:space="preserve">HRP-1.5</t>
  </si>
  <si>
    <t xml:space="preserve">HRP (siyah)</t>
  </si>
  <si>
    <t xml:space="preserve">HRP-2</t>
  </si>
  <si>
    <t xml:space="preserve">HRP-2.5</t>
  </si>
  <si>
    <t xml:space="preserve">HRP-3</t>
  </si>
  <si>
    <t xml:space="preserve">HRP-4</t>
  </si>
  <si>
    <t xml:space="preserve">4 mm</t>
  </si>
  <si>
    <t xml:space="preserve">HRP-5</t>
  </si>
  <si>
    <t xml:space="preserve">5 mm</t>
  </si>
  <si>
    <t xml:space="preserve">HRP-6</t>
  </si>
  <si>
    <t xml:space="preserve">6 mm</t>
  </si>
  <si>
    <t xml:space="preserve">HRP-8</t>
  </si>
  <si>
    <t xml:space="preserve">8 mm</t>
  </si>
  <si>
    <t xml:space="preserve">HRP-10</t>
  </si>
  <si>
    <t xml:space="preserve">10 mm</t>
  </si>
  <si>
    <t xml:space="preserve">HRP-12</t>
  </si>
  <si>
    <t xml:space="preserve">12 mm</t>
  </si>
  <si>
    <t xml:space="preserve">HRP-15</t>
  </si>
  <si>
    <t xml:space="preserve">15 mm</t>
  </si>
  <si>
    <t xml:space="preserve">HRP-20</t>
  </si>
  <si>
    <t xml:space="preserve">20 mm</t>
  </si>
  <si>
    <t xml:space="preserve">HRP-25</t>
  </si>
  <si>
    <t xml:space="preserve">25 mm</t>
  </si>
  <si>
    <t xml:space="preserve">HRP-30</t>
  </si>
  <si>
    <t xml:space="preserve">30 mm</t>
  </si>
  <si>
    <t xml:space="preserve">HRP-40</t>
  </si>
  <si>
    <t xml:space="preserve">40 mm</t>
  </si>
  <si>
    <t xml:space="preserve">HRP-50</t>
  </si>
  <si>
    <t xml:space="preserve">50 mm</t>
  </si>
  <si>
    <t xml:space="preserve">GLV-0.4</t>
  </si>
  <si>
    <t xml:space="preserve">Galvaniz</t>
  </si>
  <si>
    <t xml:space="preserve">GLV-0.5</t>
  </si>
  <si>
    <t xml:space="preserve">GLV-0.6</t>
  </si>
  <si>
    <t xml:space="preserve">GLV-0.7</t>
  </si>
  <si>
    <t xml:space="preserve">GLV-0.8</t>
  </si>
  <si>
    <t xml:space="preserve">GLV-1</t>
  </si>
  <si>
    <t xml:space="preserve">GLV-1.2</t>
  </si>
  <si>
    <t xml:space="preserve">GLV-1.5</t>
  </si>
  <si>
    <t xml:space="preserve">GLV-2</t>
  </si>
  <si>
    <t xml:space="preserve">GLV-2.5</t>
  </si>
  <si>
    <t xml:space="preserve">GLV-3</t>
  </si>
  <si>
    <t xml:space="preserve">BKL-2</t>
  </si>
  <si>
    <t xml:space="preserve">Baklavalı</t>
  </si>
  <si>
    <t xml:space="preserve">BKL-2.5</t>
  </si>
  <si>
    <t xml:space="preserve">BKL-3</t>
  </si>
  <si>
    <t xml:space="preserve">BKL-4</t>
  </si>
  <si>
    <t xml:space="preserve">BKL-5</t>
  </si>
  <si>
    <t xml:space="preserve">BKL-6</t>
  </si>
  <si>
    <t xml:space="preserve">BKL-8</t>
  </si>
  <si>
    <t xml:space="preserve">BKL-10</t>
  </si>
  <si>
    <t xml:space="preserve">Çeta Sac · Gözyaşı Desenli Kaymaz Sac Ağırlık Tablosu</t>
  </si>
  <si>
    <t xml:space="preserve">Ağırlıklar yaklaşıktır: demir 7,85, alüminyum 2,71, paslanmaz 7,93 kg/m²/mm yoğunluğuna desen payı (demir ~2,0, alüminyum ~1,0, paslanmaz ~1,8 kg/m²) eklenmiştir. Gerçek değer üreticinin desen yüksekliğine göre değişir.</t>
  </si>
  <si>
    <t xml:space="preserve">CTD-1.5</t>
  </si>
  <si>
    <t xml:space="preserve">Demir</t>
  </si>
  <si>
    <t xml:space="preserve">CTD-2</t>
  </si>
  <si>
    <t xml:space="preserve">CTD-2.5</t>
  </si>
  <si>
    <t xml:space="preserve">CTD-3</t>
  </si>
  <si>
    <t xml:space="preserve">CTD-4</t>
  </si>
  <si>
    <t xml:space="preserve">CTD-5</t>
  </si>
  <si>
    <t xml:space="preserve">CTD-6</t>
  </si>
  <si>
    <t xml:space="preserve">CTD-8</t>
  </si>
  <si>
    <t xml:space="preserve">CTD-10</t>
  </si>
  <si>
    <t xml:space="preserve">CTA-1.5</t>
  </si>
  <si>
    <t xml:space="preserve">Alüminyum</t>
  </si>
  <si>
    <t xml:space="preserve">1,5 / 2 mm</t>
  </si>
  <si>
    <t xml:space="preserve">CTA-2</t>
  </si>
  <si>
    <t xml:space="preserve">2 / 3 mm</t>
  </si>
  <si>
    <t xml:space="preserve">CTA-2.5</t>
  </si>
  <si>
    <t xml:space="preserve">2,5 / 3,5 mm</t>
  </si>
  <si>
    <t xml:space="preserve">CTA-3</t>
  </si>
  <si>
    <t xml:space="preserve">3 / 4,5 mm</t>
  </si>
  <si>
    <t xml:space="preserve">CTA-4</t>
  </si>
  <si>
    <t xml:space="preserve">4 / 5,5 mm</t>
  </si>
  <si>
    <t xml:space="preserve">CTA-5</t>
  </si>
  <si>
    <t xml:space="preserve">5 / 6,5 mm</t>
  </si>
  <si>
    <t xml:space="preserve">CTA-6</t>
  </si>
  <si>
    <t xml:space="preserve">6 / 7,5 mm</t>
  </si>
  <si>
    <t xml:space="preserve">CTP-1.5</t>
  </si>
  <si>
    <t xml:space="preserve">Paslanmaz</t>
  </si>
  <si>
    <t xml:space="preserve">CTP-2</t>
  </si>
  <si>
    <t xml:space="preserve">CTP-2.5</t>
  </si>
  <si>
    <t xml:space="preserve">CTP-3</t>
  </si>
  <si>
    <t xml:space="preserve">CTP-4</t>
  </si>
  <si>
    <t xml:space="preserve">CTP-5</t>
  </si>
  <si>
    <t xml:space="preserve">CTP-6</t>
  </si>
  <si>
    <t xml:space="preserve">Trapez Sac · Çatı, Cephe ve Deck Sacları Ölçü ve Ağırlık Tablosu</t>
  </si>
  <si>
    <t xml:space="preserve">Ölçüler Türkiye piyasasında yaygın profillerin tipik değerleridir; hadve, adım ve faydalı genişlik üreticiye göre birkaç milimetre farklılık gösterebilir. Ağırlıklar bobin genişliği, 7,85 kg/m²/mm ve Z275 kaplama (0,275 kg/m²) ile hesaplanmıştır.</t>
  </si>
  <si>
    <t xml:space="preserve">Ağırlık (faydalı alan) (kg/m²)</t>
  </si>
  <si>
    <t xml:space="preserve">Faydalı genişlik (mm)</t>
  </si>
  <si>
    <t xml:space="preserve">Bobin genişliği (mm)</t>
  </si>
  <si>
    <t xml:space="preserve">Hadve (mm)</t>
  </si>
  <si>
    <t xml:space="preserve">Adım (mm)</t>
  </si>
  <si>
    <t xml:space="preserve">TRP-20-1100-0.4</t>
  </si>
  <si>
    <t xml:space="preserve">Trapez</t>
  </si>
  <si>
    <t xml:space="preserve">hadve 20 · faydalı 1100 mm</t>
  </si>
  <si>
    <t xml:space="preserve">TRP-20-1100-0.45</t>
  </si>
  <si>
    <t xml:space="preserve">TRP-20-1100-0.5</t>
  </si>
  <si>
    <t xml:space="preserve">TRP-20-1100-0.6</t>
  </si>
  <si>
    <t xml:space="preserve">TRP-20-1100-0.7</t>
  </si>
  <si>
    <t xml:space="preserve">TRP-20-1100-0.8</t>
  </si>
  <si>
    <t xml:space="preserve">TRP-27-1000-0.4</t>
  </si>
  <si>
    <t xml:space="preserve">hadve 27 · faydalı 1000 mm</t>
  </si>
  <si>
    <t xml:space="preserve">TRP-27-1000-0.45</t>
  </si>
  <si>
    <t xml:space="preserve">TRP-27-1000-0.5</t>
  </si>
  <si>
    <t xml:space="preserve">TRP-27-1000-0.6</t>
  </si>
  <si>
    <t xml:space="preserve">TRP-27-1000-0.7</t>
  </si>
  <si>
    <t xml:space="preserve">TRP-27-1000-0.8</t>
  </si>
  <si>
    <t xml:space="preserve">TRP-27-1000-1</t>
  </si>
  <si>
    <t xml:space="preserve">TRP-35-1035-0.4</t>
  </si>
  <si>
    <t xml:space="preserve">hadve 35 · faydalı 1035 mm</t>
  </si>
  <si>
    <t xml:space="preserve">TRP-35-1035-0.45</t>
  </si>
  <si>
    <t xml:space="preserve">TRP-35-1035-0.5</t>
  </si>
  <si>
    <t xml:space="preserve">TRP-35-1035-0.6</t>
  </si>
  <si>
    <t xml:space="preserve">TRP-35-1035-0.7</t>
  </si>
  <si>
    <t xml:space="preserve">TRP-35-1035-0.8</t>
  </si>
  <si>
    <t xml:space="preserve">TRP-35-1035-1</t>
  </si>
  <si>
    <t xml:space="preserve">TRP-38-1000-0.5</t>
  </si>
  <si>
    <t xml:space="preserve">hadve 38 · faydalı 1000 mm</t>
  </si>
  <si>
    <t xml:space="preserve">TRP-38-1000-0.6</t>
  </si>
  <si>
    <t xml:space="preserve">TRP-38-1000-0.7</t>
  </si>
  <si>
    <t xml:space="preserve">TRP-38-1000-0.8</t>
  </si>
  <si>
    <t xml:space="preserve">TRP-38-1000-1</t>
  </si>
  <si>
    <t xml:space="preserve">TRP-40-900-0.5</t>
  </si>
  <si>
    <t xml:space="preserve">hadve 40 · faydalı 900 mm</t>
  </si>
  <si>
    <t xml:space="preserve">TRP-40-900-0.6</t>
  </si>
  <si>
    <t xml:space="preserve">TRP-40-900-0.7</t>
  </si>
  <si>
    <t xml:space="preserve">TRP-40-900-0.8</t>
  </si>
  <si>
    <t xml:space="preserve">TRP-40-900-1</t>
  </si>
  <si>
    <t xml:space="preserve">TRP-55-900-0.6</t>
  </si>
  <si>
    <t xml:space="preserve">hadve 55 · faydalı 900 mm</t>
  </si>
  <si>
    <t xml:space="preserve">TRP-55-900-0.7</t>
  </si>
  <si>
    <t xml:space="preserve">TRP-55-900-0.8</t>
  </si>
  <si>
    <t xml:space="preserve">TRP-55-900-1</t>
  </si>
  <si>
    <t xml:space="preserve">TRP-55-900-1.2</t>
  </si>
  <si>
    <t xml:space="preserve">TRP-75-825-0.7</t>
  </si>
  <si>
    <t xml:space="preserve">Yüksek hadve</t>
  </si>
  <si>
    <t xml:space="preserve">hadve 75 · faydalı 825 mm</t>
  </si>
  <si>
    <t xml:space="preserve">TRP-75-825-0.8</t>
  </si>
  <si>
    <t xml:space="preserve">TRP-75-825-1</t>
  </si>
  <si>
    <t xml:space="preserve">TRP-75-825-1.2</t>
  </si>
  <si>
    <t xml:space="preserve">TRP-110-685-0.75</t>
  </si>
  <si>
    <t xml:space="preserve">hadve 110 · faydalı 685 mm</t>
  </si>
  <si>
    <t xml:space="preserve">TRP-110-685-0.88</t>
  </si>
  <si>
    <t xml:space="preserve">TRP-110-685-1</t>
  </si>
  <si>
    <t xml:space="preserve">TRP-110-685-1.25</t>
  </si>
  <si>
    <t xml:space="preserve">TRP-110-685-1.5</t>
  </si>
  <si>
    <t xml:space="preserve">TRP-153-850-0.75</t>
  </si>
  <si>
    <t xml:space="preserve">hadve 153 · faydalı 850 mm</t>
  </si>
  <si>
    <t xml:space="preserve">TRP-153-850-0.88</t>
  </si>
  <si>
    <t xml:space="preserve">TRP-153-850-1</t>
  </si>
  <si>
    <t xml:space="preserve">TRP-153-850-1.25</t>
  </si>
  <si>
    <t xml:space="preserve">TRP-153-850-1.5</t>
  </si>
  <si>
    <t xml:space="preserve">SNS-18-76-0.4</t>
  </si>
  <si>
    <t xml:space="preserve">Sinüs (oluklu)</t>
  </si>
  <si>
    <t xml:space="preserve">hadve 18 · faydalı 1064 mm</t>
  </si>
  <si>
    <t xml:space="preserve">SNS-18-76-0.45</t>
  </si>
  <si>
    <t xml:space="preserve">SNS-18-76-0.5</t>
  </si>
  <si>
    <t xml:space="preserve">SNS-18-76-0.6</t>
  </si>
  <si>
    <t xml:space="preserve">SNS-18-76-0.7</t>
  </si>
  <si>
    <t xml:space="preserve">SNS-18-76-0.8</t>
  </si>
  <si>
    <t xml:space="preserve">KNT-65-400-0.5</t>
  </si>
  <si>
    <t xml:space="preserve">Kilit geçme</t>
  </si>
  <si>
    <t xml:space="preserve">hadve 65 · faydalı 400 mm</t>
  </si>
  <si>
    <t xml:space="preserve">KNT-65-400-0.6</t>
  </si>
  <si>
    <t xml:space="preserve">KNT-65-400-0.7</t>
  </si>
  <si>
    <t xml:space="preserve">KNT-65-400-0.8</t>
  </si>
  <si>
    <t xml:space="preserve">KNT-65-500-0.5</t>
  </si>
  <si>
    <t xml:space="preserve">hadve 65 · faydalı 500 mm</t>
  </si>
  <si>
    <t xml:space="preserve">KNT-65-500-0.6</t>
  </si>
  <si>
    <t xml:space="preserve">KNT-65-500-0.7</t>
  </si>
  <si>
    <t xml:space="preserve">KNT-65-500-0.8</t>
  </si>
  <si>
    <t xml:space="preserve">DCK-51-750-0.75</t>
  </si>
  <si>
    <t xml:space="preserve">Deck (döşeme)</t>
  </si>
  <si>
    <t xml:space="preserve">hadve 51 · faydalı 750 mm</t>
  </si>
  <si>
    <t xml:space="preserve">DCK-51-750-0.9</t>
  </si>
  <si>
    <t xml:space="preserve">DCK-51-750-1</t>
  </si>
  <si>
    <t xml:space="preserve">DCK-51-750-1.2</t>
  </si>
  <si>
    <t xml:space="preserve">DCK-60-1000-0.75</t>
  </si>
  <si>
    <t xml:space="preserve">hadve 60 · faydalı 1000 mm</t>
  </si>
  <si>
    <t xml:space="preserve">DCK-60-1000-0.9</t>
  </si>
  <si>
    <t xml:space="preserve">DCK-60-1000-1</t>
  </si>
  <si>
    <t xml:space="preserve">DCK-60-1000-1.2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</si>
</sst>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#"/>
    <numFmt numFmtId="166" formatCode="#,##0.00"/>
    <numFmt numFmtId="167" formatCode="#,##0.0"/>
    <numFmt numFmtId="168" formatCode="#,##0.000"/>
    <numFmt numFmtId="169" formatCode="0.0"/>
    <numFmt numFmtId="170" formatCode="0"/>
    <numFmt numFmtId="171" formatCode="#,##0.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A3D"/>
        <bgColor rgb="FF00336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2A3D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11"/>
    <col collapsed="false" customWidth="true" hidden="false" outlineLevel="0" max="14" min="13" style="0" width="10"/>
    <col collapsed="false" customWidth="true" hidden="false" outlineLevel="0" max="15" min="15" style="0" width="2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5" t="n">
        <v>1.2</v>
      </c>
      <c r="E5" s="6" t="n">
        <v>0.49</v>
      </c>
      <c r="F5" s="7" t="n">
        <f aca="false">E5*6</f>
        <v>2.94</v>
      </c>
      <c r="G5" s="7" t="n">
        <f aca="false">E5*12</f>
        <v>5.88</v>
      </c>
      <c r="H5" s="6" t="n">
        <v>0.63</v>
      </c>
      <c r="I5" s="6" t="n">
        <v>0.19</v>
      </c>
      <c r="J5" s="6" t="n">
        <v>0.19</v>
      </c>
      <c r="K5" s="6" t="n">
        <v>0.26</v>
      </c>
      <c r="L5" s="6" t="n">
        <v>0.26</v>
      </c>
      <c r="M5" s="6" t="n">
        <v>0.55</v>
      </c>
      <c r="N5" s="6" t="n">
        <v>0.55</v>
      </c>
      <c r="O5" s="8" t="n">
        <v>0.056</v>
      </c>
    </row>
    <row r="6" customFormat="false" ht="15" hidden="false" customHeight="false" outlineLevel="0" collapsed="false">
      <c r="A6" s="9" t="s">
        <v>20</v>
      </c>
      <c r="B6" s="9" t="s">
        <v>18</v>
      </c>
      <c r="C6" s="9" t="s">
        <v>19</v>
      </c>
      <c r="D6" s="10" t="n">
        <v>1.5</v>
      </c>
      <c r="E6" s="11" t="n">
        <v>0.59</v>
      </c>
      <c r="F6" s="12" t="n">
        <f aca="false">E6*6</f>
        <v>3.54</v>
      </c>
      <c r="G6" s="12" t="n">
        <f aca="false">E6*12</f>
        <v>7.08</v>
      </c>
      <c r="H6" s="11" t="n">
        <v>0.75</v>
      </c>
      <c r="I6" s="11" t="n">
        <v>0.22</v>
      </c>
      <c r="J6" s="11" t="n">
        <v>0.22</v>
      </c>
      <c r="K6" s="11" t="n">
        <v>0.29</v>
      </c>
      <c r="L6" s="11" t="n">
        <v>0.29</v>
      </c>
      <c r="M6" s="11" t="n">
        <v>0.54</v>
      </c>
      <c r="N6" s="11" t="n">
        <v>0.54</v>
      </c>
      <c r="O6" s="13" t="n">
        <v>0.055</v>
      </c>
    </row>
    <row r="7" customFormat="false" ht="15" hidden="false" customHeight="false" outlineLevel="0" collapsed="false">
      <c r="A7" s="4" t="s">
        <v>21</v>
      </c>
      <c r="B7" s="4" t="s">
        <v>18</v>
      </c>
      <c r="C7" s="4" t="s">
        <v>19</v>
      </c>
      <c r="D7" s="5" t="n">
        <v>2</v>
      </c>
      <c r="E7" s="6" t="n">
        <v>0.74</v>
      </c>
      <c r="F7" s="7" t="n">
        <f aca="false">E7*6</f>
        <v>4.44</v>
      </c>
      <c r="G7" s="7" t="n">
        <f aca="false">E7*12</f>
        <v>8.88</v>
      </c>
      <c r="H7" s="6" t="n">
        <v>0.94</v>
      </c>
      <c r="I7" s="6" t="n">
        <v>0.25</v>
      </c>
      <c r="J7" s="6" t="n">
        <v>0.25</v>
      </c>
      <c r="K7" s="6" t="n">
        <v>0.33</v>
      </c>
      <c r="L7" s="6" t="n">
        <v>0.33</v>
      </c>
      <c r="M7" s="6" t="n">
        <v>0.51</v>
      </c>
      <c r="N7" s="6" t="n">
        <v>0.51</v>
      </c>
      <c r="O7" s="8" t="n">
        <v>0.053</v>
      </c>
    </row>
    <row r="8" customFormat="false" ht="15" hidden="false" customHeight="false" outlineLevel="0" collapsed="false">
      <c r="A8" s="9" t="s">
        <v>22</v>
      </c>
      <c r="B8" s="9" t="s">
        <v>18</v>
      </c>
      <c r="C8" s="9" t="s">
        <v>23</v>
      </c>
      <c r="D8" s="10" t="n">
        <v>1.2</v>
      </c>
      <c r="E8" s="11" t="n">
        <v>0.68</v>
      </c>
      <c r="F8" s="12" t="n">
        <f aca="false">E8*6</f>
        <v>4.08</v>
      </c>
      <c r="G8" s="12" t="n">
        <f aca="false">E8*12</f>
        <v>8.16</v>
      </c>
      <c r="H8" s="11" t="n">
        <v>0.87</v>
      </c>
      <c r="I8" s="11" t="n">
        <v>0.5</v>
      </c>
      <c r="J8" s="11" t="n">
        <v>0.5</v>
      </c>
      <c r="K8" s="11" t="n">
        <v>0.5</v>
      </c>
      <c r="L8" s="11" t="n">
        <v>0.5</v>
      </c>
      <c r="M8" s="11" t="n">
        <v>0.76</v>
      </c>
      <c r="N8" s="11" t="n">
        <v>0.76</v>
      </c>
      <c r="O8" s="13" t="n">
        <v>0.076</v>
      </c>
    </row>
    <row r="9" customFormat="false" ht="15" hidden="false" customHeight="false" outlineLevel="0" collapsed="false">
      <c r="A9" s="4" t="s">
        <v>24</v>
      </c>
      <c r="B9" s="4" t="s">
        <v>18</v>
      </c>
      <c r="C9" s="4" t="s">
        <v>23</v>
      </c>
      <c r="D9" s="5" t="n">
        <v>1.5</v>
      </c>
      <c r="E9" s="6" t="n">
        <v>0.83</v>
      </c>
      <c r="F9" s="7" t="n">
        <f aca="false">E9*6</f>
        <v>4.98</v>
      </c>
      <c r="G9" s="7" t="n">
        <f aca="false">E9*12</f>
        <v>9.96</v>
      </c>
      <c r="H9" s="6" t="n">
        <v>1.05</v>
      </c>
      <c r="I9" s="6" t="n">
        <v>0.58</v>
      </c>
      <c r="J9" s="6" t="n">
        <v>0.58</v>
      </c>
      <c r="K9" s="6" t="n">
        <v>0.58</v>
      </c>
      <c r="L9" s="6" t="n">
        <v>0.58</v>
      </c>
      <c r="M9" s="6" t="n">
        <v>0.74</v>
      </c>
      <c r="N9" s="6" t="n">
        <v>0.74</v>
      </c>
      <c r="O9" s="8" t="n">
        <v>0.075</v>
      </c>
    </row>
    <row r="10" customFormat="false" ht="15" hidden="false" customHeight="false" outlineLevel="0" collapsed="false">
      <c r="A10" s="9" t="s">
        <v>25</v>
      </c>
      <c r="B10" s="9" t="s">
        <v>18</v>
      </c>
      <c r="C10" s="9" t="s">
        <v>23</v>
      </c>
      <c r="D10" s="10" t="n">
        <v>2</v>
      </c>
      <c r="E10" s="11" t="n">
        <v>1.05</v>
      </c>
      <c r="F10" s="12" t="n">
        <f aca="false">E10*6</f>
        <v>6.3</v>
      </c>
      <c r="G10" s="12" t="n">
        <f aca="false">E10*12</f>
        <v>12.6</v>
      </c>
      <c r="H10" s="11" t="n">
        <v>1.34</v>
      </c>
      <c r="I10" s="11" t="n">
        <v>0.69</v>
      </c>
      <c r="J10" s="11" t="n">
        <v>0.69</v>
      </c>
      <c r="K10" s="11" t="n">
        <v>0.69</v>
      </c>
      <c r="L10" s="11" t="n">
        <v>0.69</v>
      </c>
      <c r="M10" s="11" t="n">
        <v>0.72</v>
      </c>
      <c r="N10" s="11" t="n">
        <v>0.72</v>
      </c>
      <c r="O10" s="13" t="n">
        <v>0.073</v>
      </c>
    </row>
    <row r="11" customFormat="false" ht="15" hidden="false" customHeight="false" outlineLevel="0" collapsed="false">
      <c r="A11" s="4" t="s">
        <v>26</v>
      </c>
      <c r="B11" s="4" t="s">
        <v>18</v>
      </c>
      <c r="C11" s="4" t="s">
        <v>27</v>
      </c>
      <c r="D11" s="5" t="n">
        <v>1.2</v>
      </c>
      <c r="E11" s="6" t="n">
        <v>0.87</v>
      </c>
      <c r="F11" s="7" t="n">
        <f aca="false">E11*6</f>
        <v>5.22</v>
      </c>
      <c r="G11" s="7" t="n">
        <f aca="false">E11*12</f>
        <v>10.44</v>
      </c>
      <c r="H11" s="6" t="n">
        <v>1.11</v>
      </c>
      <c r="I11" s="6" t="n">
        <v>1.03</v>
      </c>
      <c r="J11" s="6" t="n">
        <v>1.03</v>
      </c>
      <c r="K11" s="6" t="n">
        <v>0.82</v>
      </c>
      <c r="L11" s="6" t="n">
        <v>0.82</v>
      </c>
      <c r="M11" s="6" t="n">
        <v>0.96</v>
      </c>
      <c r="N11" s="6" t="n">
        <v>0.96</v>
      </c>
      <c r="O11" s="8" t="n">
        <v>0.096</v>
      </c>
    </row>
    <row r="12" customFormat="false" ht="15" hidden="false" customHeight="false" outlineLevel="0" collapsed="false">
      <c r="A12" s="9" t="s">
        <v>28</v>
      </c>
      <c r="B12" s="9" t="s">
        <v>18</v>
      </c>
      <c r="C12" s="9" t="s">
        <v>27</v>
      </c>
      <c r="D12" s="10" t="n">
        <v>1.5</v>
      </c>
      <c r="E12" s="11" t="n">
        <v>1.06</v>
      </c>
      <c r="F12" s="12" t="n">
        <f aca="false">E12*6</f>
        <v>6.36</v>
      </c>
      <c r="G12" s="12" t="n">
        <f aca="false">E12*12</f>
        <v>12.72</v>
      </c>
      <c r="H12" s="11" t="n">
        <v>1.35</v>
      </c>
      <c r="I12" s="11" t="n">
        <v>1.22</v>
      </c>
      <c r="J12" s="11" t="n">
        <v>1.22</v>
      </c>
      <c r="K12" s="11" t="n">
        <v>0.97</v>
      </c>
      <c r="L12" s="11" t="n">
        <v>0.97</v>
      </c>
      <c r="M12" s="11" t="n">
        <v>0.95</v>
      </c>
      <c r="N12" s="11" t="n">
        <v>0.95</v>
      </c>
      <c r="O12" s="13" t="n">
        <v>0.095</v>
      </c>
    </row>
    <row r="13" customFormat="false" ht="15" hidden="false" customHeight="false" outlineLevel="0" collapsed="false">
      <c r="A13" s="4" t="s">
        <v>29</v>
      </c>
      <c r="B13" s="4" t="s">
        <v>18</v>
      </c>
      <c r="C13" s="4" t="s">
        <v>27</v>
      </c>
      <c r="D13" s="5" t="n">
        <v>2</v>
      </c>
      <c r="E13" s="6" t="n">
        <v>1.36</v>
      </c>
      <c r="F13" s="7" t="n">
        <f aca="false">E13*6</f>
        <v>8.16</v>
      </c>
      <c r="G13" s="7" t="n">
        <f aca="false">E13*12</f>
        <v>16.32</v>
      </c>
      <c r="H13" s="6" t="n">
        <v>1.74</v>
      </c>
      <c r="I13" s="6" t="n">
        <v>1.48</v>
      </c>
      <c r="J13" s="6" t="n">
        <v>1.48</v>
      </c>
      <c r="K13" s="6" t="n">
        <v>1.19</v>
      </c>
      <c r="L13" s="6" t="n">
        <v>1.19</v>
      </c>
      <c r="M13" s="6" t="n">
        <v>0.92</v>
      </c>
      <c r="N13" s="6" t="n">
        <v>0.92</v>
      </c>
      <c r="O13" s="8" t="n">
        <v>0.093</v>
      </c>
    </row>
    <row r="14" customFormat="false" ht="15" hidden="false" customHeight="false" outlineLevel="0" collapsed="false">
      <c r="A14" s="9" t="s">
        <v>30</v>
      </c>
      <c r="B14" s="9" t="s">
        <v>18</v>
      </c>
      <c r="C14" s="9" t="s">
        <v>27</v>
      </c>
      <c r="D14" s="10" t="n">
        <v>2.5</v>
      </c>
      <c r="E14" s="11" t="n">
        <v>1.64</v>
      </c>
      <c r="F14" s="12" t="n">
        <f aca="false">E14*6</f>
        <v>9.84</v>
      </c>
      <c r="G14" s="12" t="n">
        <f aca="false">E14*12</f>
        <v>19.68</v>
      </c>
      <c r="H14" s="11" t="n">
        <v>2.09</v>
      </c>
      <c r="I14" s="11" t="n">
        <v>1.69</v>
      </c>
      <c r="J14" s="11" t="n">
        <v>1.69</v>
      </c>
      <c r="K14" s="11" t="n">
        <v>1.35</v>
      </c>
      <c r="L14" s="11" t="n">
        <v>1.35</v>
      </c>
      <c r="M14" s="11" t="n">
        <v>0.9</v>
      </c>
      <c r="N14" s="11" t="n">
        <v>0.9</v>
      </c>
      <c r="O14" s="13" t="n">
        <v>0.091</v>
      </c>
    </row>
    <row r="15" customFormat="false" ht="15" hidden="false" customHeight="false" outlineLevel="0" collapsed="false">
      <c r="A15" s="4" t="s">
        <v>31</v>
      </c>
      <c r="B15" s="4" t="s">
        <v>18</v>
      </c>
      <c r="C15" s="4" t="s">
        <v>27</v>
      </c>
      <c r="D15" s="5" t="n">
        <v>3</v>
      </c>
      <c r="E15" s="6" t="n">
        <v>1.89</v>
      </c>
      <c r="F15" s="7" t="n">
        <f aca="false">E15*6</f>
        <v>11.34</v>
      </c>
      <c r="G15" s="7" t="n">
        <f aca="false">E15*12</f>
        <v>22.68</v>
      </c>
      <c r="H15" s="6" t="n">
        <v>2.41</v>
      </c>
      <c r="I15" s="6" t="n">
        <v>1.84</v>
      </c>
      <c r="J15" s="6" t="n">
        <v>1.84</v>
      </c>
      <c r="K15" s="6" t="n">
        <v>1.47</v>
      </c>
      <c r="L15" s="6" t="n">
        <v>1.47</v>
      </c>
      <c r="M15" s="6" t="n">
        <v>0.87</v>
      </c>
      <c r="N15" s="6" t="n">
        <v>0.87</v>
      </c>
      <c r="O15" s="8" t="n">
        <v>0.09</v>
      </c>
    </row>
    <row r="16" customFormat="false" ht="15" hidden="false" customHeight="false" outlineLevel="0" collapsed="false">
      <c r="A16" s="9" t="s">
        <v>32</v>
      </c>
      <c r="B16" s="9" t="s">
        <v>18</v>
      </c>
      <c r="C16" s="9" t="s">
        <v>33</v>
      </c>
      <c r="D16" s="10" t="n">
        <v>1.2</v>
      </c>
      <c r="E16" s="11" t="n">
        <v>1.06</v>
      </c>
      <c r="F16" s="12" t="n">
        <f aca="false">E16*6</f>
        <v>6.36</v>
      </c>
      <c r="G16" s="12" t="n">
        <f aca="false">E16*12</f>
        <v>12.72</v>
      </c>
      <c r="H16" s="11" t="n">
        <v>1.35</v>
      </c>
      <c r="I16" s="11" t="n">
        <v>1.83</v>
      </c>
      <c r="J16" s="11" t="n">
        <v>1.83</v>
      </c>
      <c r="K16" s="11" t="n">
        <v>1.22</v>
      </c>
      <c r="L16" s="11" t="n">
        <v>1.22</v>
      </c>
      <c r="M16" s="11" t="n">
        <v>1.17</v>
      </c>
      <c r="N16" s="11" t="n">
        <v>1.17</v>
      </c>
      <c r="O16" s="13" t="n">
        <v>0.116</v>
      </c>
    </row>
    <row r="17" customFormat="false" ht="15" hidden="false" customHeight="false" outlineLevel="0" collapsed="false">
      <c r="A17" s="4" t="s">
        <v>34</v>
      </c>
      <c r="B17" s="4" t="s">
        <v>18</v>
      </c>
      <c r="C17" s="4" t="s">
        <v>33</v>
      </c>
      <c r="D17" s="5" t="n">
        <v>1.5</v>
      </c>
      <c r="E17" s="6" t="n">
        <v>1.3</v>
      </c>
      <c r="F17" s="7" t="n">
        <f aca="false">E17*6</f>
        <v>7.8</v>
      </c>
      <c r="G17" s="7" t="n">
        <f aca="false">E17*12</f>
        <v>15.6</v>
      </c>
      <c r="H17" s="6" t="n">
        <v>1.65</v>
      </c>
      <c r="I17" s="6" t="n">
        <v>2.2</v>
      </c>
      <c r="J17" s="6" t="n">
        <v>2.2</v>
      </c>
      <c r="K17" s="6" t="n">
        <v>1.46</v>
      </c>
      <c r="L17" s="6" t="n">
        <v>1.46</v>
      </c>
      <c r="M17" s="6" t="n">
        <v>1.15</v>
      </c>
      <c r="N17" s="6" t="n">
        <v>1.15</v>
      </c>
      <c r="O17" s="8" t="n">
        <v>0.115</v>
      </c>
    </row>
    <row r="18" customFormat="false" ht="15" hidden="false" customHeight="false" outlineLevel="0" collapsed="false">
      <c r="A18" s="9" t="s">
        <v>35</v>
      </c>
      <c r="B18" s="9" t="s">
        <v>18</v>
      </c>
      <c r="C18" s="9" t="s">
        <v>33</v>
      </c>
      <c r="D18" s="10" t="n">
        <v>2</v>
      </c>
      <c r="E18" s="11" t="n">
        <v>1.68</v>
      </c>
      <c r="F18" s="12" t="n">
        <f aca="false">E18*6</f>
        <v>10.08</v>
      </c>
      <c r="G18" s="12" t="n">
        <f aca="false">E18*12</f>
        <v>20.16</v>
      </c>
      <c r="H18" s="11" t="n">
        <v>2.14</v>
      </c>
      <c r="I18" s="11" t="n">
        <v>2.72</v>
      </c>
      <c r="J18" s="11" t="n">
        <v>2.72</v>
      </c>
      <c r="K18" s="11" t="n">
        <v>1.81</v>
      </c>
      <c r="L18" s="11" t="n">
        <v>1.81</v>
      </c>
      <c r="M18" s="11" t="n">
        <v>1.13</v>
      </c>
      <c r="N18" s="11" t="n">
        <v>1.13</v>
      </c>
      <c r="O18" s="13" t="n">
        <v>0.113</v>
      </c>
    </row>
    <row r="19" customFormat="false" ht="15" hidden="false" customHeight="false" outlineLevel="0" collapsed="false">
      <c r="A19" s="4" t="s">
        <v>36</v>
      </c>
      <c r="B19" s="4" t="s">
        <v>18</v>
      </c>
      <c r="C19" s="4" t="s">
        <v>33</v>
      </c>
      <c r="D19" s="5" t="n">
        <v>2.5</v>
      </c>
      <c r="E19" s="6" t="n">
        <v>2.03</v>
      </c>
      <c r="F19" s="7" t="n">
        <f aca="false">E19*6</f>
        <v>12.18</v>
      </c>
      <c r="G19" s="7" t="n">
        <f aca="false">E19*12</f>
        <v>24.36</v>
      </c>
      <c r="H19" s="6" t="n">
        <v>2.59</v>
      </c>
      <c r="I19" s="6" t="n">
        <v>3.16</v>
      </c>
      <c r="J19" s="6" t="n">
        <v>3.16</v>
      </c>
      <c r="K19" s="6" t="n">
        <v>2.1</v>
      </c>
      <c r="L19" s="6" t="n">
        <v>2.1</v>
      </c>
      <c r="M19" s="6" t="n">
        <v>1.1</v>
      </c>
      <c r="N19" s="6" t="n">
        <v>1.1</v>
      </c>
      <c r="O19" s="8" t="n">
        <v>0.111</v>
      </c>
    </row>
    <row r="20" customFormat="false" ht="15" hidden="false" customHeight="false" outlineLevel="0" collapsed="false">
      <c r="A20" s="9" t="s">
        <v>37</v>
      </c>
      <c r="B20" s="9" t="s">
        <v>18</v>
      </c>
      <c r="C20" s="9" t="s">
        <v>33</v>
      </c>
      <c r="D20" s="10" t="n">
        <v>3</v>
      </c>
      <c r="E20" s="11" t="n">
        <v>2.36</v>
      </c>
      <c r="F20" s="12" t="n">
        <f aca="false">E20*6</f>
        <v>14.16</v>
      </c>
      <c r="G20" s="12" t="n">
        <f aca="false">E20*12</f>
        <v>28.32</v>
      </c>
      <c r="H20" s="11" t="n">
        <v>3.01</v>
      </c>
      <c r="I20" s="11" t="n">
        <v>3.5</v>
      </c>
      <c r="J20" s="11" t="n">
        <v>3.5</v>
      </c>
      <c r="K20" s="11" t="n">
        <v>2.34</v>
      </c>
      <c r="L20" s="11" t="n">
        <v>2.34</v>
      </c>
      <c r="M20" s="11" t="n">
        <v>1.08</v>
      </c>
      <c r="N20" s="11" t="n">
        <v>1.08</v>
      </c>
      <c r="O20" s="13" t="n">
        <v>0.11</v>
      </c>
    </row>
    <row r="21" customFormat="false" ht="15" hidden="false" customHeight="false" outlineLevel="0" collapsed="false">
      <c r="A21" s="4" t="s">
        <v>38</v>
      </c>
      <c r="B21" s="4" t="s">
        <v>18</v>
      </c>
      <c r="C21" s="4" t="s">
        <v>39</v>
      </c>
      <c r="D21" s="5" t="n">
        <v>1.5</v>
      </c>
      <c r="E21" s="6" t="n">
        <v>1.53</v>
      </c>
      <c r="F21" s="7" t="n">
        <f aca="false">E21*6</f>
        <v>9.18</v>
      </c>
      <c r="G21" s="7" t="n">
        <f aca="false">E21*12</f>
        <v>18.36</v>
      </c>
      <c r="H21" s="6" t="n">
        <v>1.95</v>
      </c>
      <c r="I21" s="6" t="n">
        <v>3.6</v>
      </c>
      <c r="J21" s="6" t="n">
        <v>3.6</v>
      </c>
      <c r="K21" s="6" t="n">
        <v>2.05</v>
      </c>
      <c r="L21" s="6" t="n">
        <v>2.05</v>
      </c>
      <c r="M21" s="6" t="n">
        <v>1.36</v>
      </c>
      <c r="N21" s="6" t="n">
        <v>1.36</v>
      </c>
      <c r="O21" s="8" t="n">
        <v>0.135</v>
      </c>
    </row>
    <row r="22" customFormat="false" ht="15" hidden="false" customHeight="false" outlineLevel="0" collapsed="false">
      <c r="A22" s="9" t="s">
        <v>40</v>
      </c>
      <c r="B22" s="9" t="s">
        <v>18</v>
      </c>
      <c r="C22" s="9" t="s">
        <v>39</v>
      </c>
      <c r="D22" s="10" t="n">
        <v>2</v>
      </c>
      <c r="E22" s="11" t="n">
        <v>1.99</v>
      </c>
      <c r="F22" s="12" t="n">
        <f aca="false">E22*6</f>
        <v>11.94</v>
      </c>
      <c r="G22" s="12" t="n">
        <f aca="false">E22*12</f>
        <v>23.88</v>
      </c>
      <c r="H22" s="11" t="n">
        <v>2.54</v>
      </c>
      <c r="I22" s="11" t="n">
        <v>4.51</v>
      </c>
      <c r="J22" s="11" t="n">
        <v>4.51</v>
      </c>
      <c r="K22" s="11" t="n">
        <v>2.58</v>
      </c>
      <c r="L22" s="11" t="n">
        <v>2.58</v>
      </c>
      <c r="M22" s="11" t="n">
        <v>1.33</v>
      </c>
      <c r="N22" s="11" t="n">
        <v>1.33</v>
      </c>
      <c r="O22" s="13" t="n">
        <v>0.133</v>
      </c>
    </row>
    <row r="23" customFormat="false" ht="15" hidden="false" customHeight="false" outlineLevel="0" collapsed="false">
      <c r="A23" s="4" t="s">
        <v>41</v>
      </c>
      <c r="B23" s="4" t="s">
        <v>18</v>
      </c>
      <c r="C23" s="4" t="s">
        <v>39</v>
      </c>
      <c r="D23" s="5" t="n">
        <v>2.5</v>
      </c>
      <c r="E23" s="6" t="n">
        <v>2.42</v>
      </c>
      <c r="F23" s="7" t="n">
        <f aca="false">E23*6</f>
        <v>14.52</v>
      </c>
      <c r="G23" s="7" t="n">
        <f aca="false">E23*12</f>
        <v>29.04</v>
      </c>
      <c r="H23" s="6" t="n">
        <v>3.09</v>
      </c>
      <c r="I23" s="6" t="n">
        <v>5.29</v>
      </c>
      <c r="J23" s="6" t="n">
        <v>5.29</v>
      </c>
      <c r="K23" s="6" t="n">
        <v>3.02</v>
      </c>
      <c r="L23" s="6" t="n">
        <v>3.02</v>
      </c>
      <c r="M23" s="6" t="n">
        <v>1.31</v>
      </c>
      <c r="N23" s="6" t="n">
        <v>1.31</v>
      </c>
      <c r="O23" s="8" t="n">
        <v>0.131</v>
      </c>
    </row>
    <row r="24" customFormat="false" ht="15" hidden="false" customHeight="false" outlineLevel="0" collapsed="false">
      <c r="A24" s="9" t="s">
        <v>42</v>
      </c>
      <c r="B24" s="9" t="s">
        <v>18</v>
      </c>
      <c r="C24" s="9" t="s">
        <v>39</v>
      </c>
      <c r="D24" s="10" t="n">
        <v>3</v>
      </c>
      <c r="E24" s="11" t="n">
        <v>2.83</v>
      </c>
      <c r="F24" s="12" t="n">
        <f aca="false">E24*6</f>
        <v>16.98</v>
      </c>
      <c r="G24" s="12" t="n">
        <f aca="false">E24*12</f>
        <v>33.96</v>
      </c>
      <c r="H24" s="11" t="n">
        <v>3.61</v>
      </c>
      <c r="I24" s="11" t="n">
        <v>5.95</v>
      </c>
      <c r="J24" s="11" t="n">
        <v>5.95</v>
      </c>
      <c r="K24" s="11" t="n">
        <v>3.4</v>
      </c>
      <c r="L24" s="11" t="n">
        <v>3.4</v>
      </c>
      <c r="M24" s="11" t="n">
        <v>1.28</v>
      </c>
      <c r="N24" s="11" t="n">
        <v>1.28</v>
      </c>
      <c r="O24" s="13" t="n">
        <v>0.13</v>
      </c>
    </row>
    <row r="25" customFormat="false" ht="15" hidden="false" customHeight="false" outlineLevel="0" collapsed="false">
      <c r="A25" s="4" t="s">
        <v>43</v>
      </c>
      <c r="B25" s="4" t="s">
        <v>18</v>
      </c>
      <c r="C25" s="4" t="s">
        <v>39</v>
      </c>
      <c r="D25" s="5" t="n">
        <v>4</v>
      </c>
      <c r="E25" s="6" t="n">
        <v>3.57</v>
      </c>
      <c r="F25" s="7" t="n">
        <f aca="false">E25*6</f>
        <v>21.42</v>
      </c>
      <c r="G25" s="7" t="n">
        <f aca="false">E25*12</f>
        <v>42.84</v>
      </c>
      <c r="H25" s="6" t="n">
        <v>4.55</v>
      </c>
      <c r="I25" s="6" t="n">
        <v>6.93</v>
      </c>
      <c r="J25" s="6" t="n">
        <v>6.93</v>
      </c>
      <c r="K25" s="6" t="n">
        <v>3.96</v>
      </c>
      <c r="L25" s="6" t="n">
        <v>3.96</v>
      </c>
      <c r="M25" s="6" t="n">
        <v>1.23</v>
      </c>
      <c r="N25" s="6" t="n">
        <v>1.23</v>
      </c>
      <c r="O25" s="8" t="n">
        <v>0.126</v>
      </c>
    </row>
    <row r="26" customFormat="false" ht="15" hidden="false" customHeight="false" outlineLevel="0" collapsed="false">
      <c r="A26" s="9" t="s">
        <v>44</v>
      </c>
      <c r="B26" s="9" t="s">
        <v>18</v>
      </c>
      <c r="C26" s="9" t="s">
        <v>45</v>
      </c>
      <c r="D26" s="10" t="n">
        <v>1.5</v>
      </c>
      <c r="E26" s="11" t="n">
        <v>1.77</v>
      </c>
      <c r="F26" s="12" t="n">
        <f aca="false">E26*6</f>
        <v>10.62</v>
      </c>
      <c r="G26" s="12" t="n">
        <f aca="false">E26*12</f>
        <v>21.24</v>
      </c>
      <c r="H26" s="11" t="n">
        <v>2.25</v>
      </c>
      <c r="I26" s="11" t="n">
        <v>5.49</v>
      </c>
      <c r="J26" s="11" t="n">
        <v>5.49</v>
      </c>
      <c r="K26" s="11" t="n">
        <v>2.74</v>
      </c>
      <c r="L26" s="11" t="n">
        <v>2.74</v>
      </c>
      <c r="M26" s="11" t="n">
        <v>1.56</v>
      </c>
      <c r="N26" s="11" t="n">
        <v>1.56</v>
      </c>
      <c r="O26" s="13" t="n">
        <v>0.155</v>
      </c>
    </row>
    <row r="27" customFormat="false" ht="15" hidden="false" customHeight="false" outlineLevel="0" collapsed="false">
      <c r="A27" s="4" t="s">
        <v>46</v>
      </c>
      <c r="B27" s="4" t="s">
        <v>18</v>
      </c>
      <c r="C27" s="4" t="s">
        <v>45</v>
      </c>
      <c r="D27" s="5" t="n">
        <v>2</v>
      </c>
      <c r="E27" s="6" t="n">
        <v>2.31</v>
      </c>
      <c r="F27" s="7" t="n">
        <f aca="false">E27*6</f>
        <v>13.86</v>
      </c>
      <c r="G27" s="7" t="n">
        <f aca="false">E27*12</f>
        <v>27.72</v>
      </c>
      <c r="H27" s="6" t="n">
        <v>2.94</v>
      </c>
      <c r="I27" s="6" t="n">
        <v>6.94</v>
      </c>
      <c r="J27" s="6" t="n">
        <v>6.94</v>
      </c>
      <c r="K27" s="6" t="n">
        <v>3.47</v>
      </c>
      <c r="L27" s="6" t="n">
        <v>3.47</v>
      </c>
      <c r="M27" s="6" t="n">
        <v>1.54</v>
      </c>
      <c r="N27" s="6" t="n">
        <v>1.54</v>
      </c>
      <c r="O27" s="8" t="n">
        <v>0.153</v>
      </c>
    </row>
    <row r="28" customFormat="false" ht="15" hidden="false" customHeight="false" outlineLevel="0" collapsed="false">
      <c r="A28" s="9" t="s">
        <v>47</v>
      </c>
      <c r="B28" s="9" t="s">
        <v>18</v>
      </c>
      <c r="C28" s="9" t="s">
        <v>45</v>
      </c>
      <c r="D28" s="10" t="n">
        <v>2.5</v>
      </c>
      <c r="E28" s="11" t="n">
        <v>2.82</v>
      </c>
      <c r="F28" s="12" t="n">
        <f aca="false">E28*6</f>
        <v>16.92</v>
      </c>
      <c r="G28" s="12" t="n">
        <f aca="false">E28*12</f>
        <v>33.84</v>
      </c>
      <c r="H28" s="11" t="n">
        <v>3.59</v>
      </c>
      <c r="I28" s="11" t="n">
        <v>8.21</v>
      </c>
      <c r="J28" s="11" t="n">
        <v>8.21</v>
      </c>
      <c r="K28" s="11" t="n">
        <v>4.11</v>
      </c>
      <c r="L28" s="11" t="n">
        <v>4.11</v>
      </c>
      <c r="M28" s="11" t="n">
        <v>1.51</v>
      </c>
      <c r="N28" s="11" t="n">
        <v>1.51</v>
      </c>
      <c r="O28" s="13" t="n">
        <v>0.151</v>
      </c>
    </row>
    <row r="29" customFormat="false" ht="15" hidden="false" customHeight="false" outlineLevel="0" collapsed="false">
      <c r="A29" s="4" t="s">
        <v>48</v>
      </c>
      <c r="B29" s="4" t="s">
        <v>18</v>
      </c>
      <c r="C29" s="4" t="s">
        <v>45</v>
      </c>
      <c r="D29" s="5" t="n">
        <v>3</v>
      </c>
      <c r="E29" s="6" t="n">
        <v>3.3</v>
      </c>
      <c r="F29" s="7" t="n">
        <f aca="false">E29*6</f>
        <v>19.8</v>
      </c>
      <c r="G29" s="7" t="n">
        <f aca="false">E29*12</f>
        <v>39.6</v>
      </c>
      <c r="H29" s="6" t="n">
        <v>4.21</v>
      </c>
      <c r="I29" s="6" t="n">
        <v>9.32</v>
      </c>
      <c r="J29" s="6" t="n">
        <v>9.32</v>
      </c>
      <c r="K29" s="6" t="n">
        <v>4.66</v>
      </c>
      <c r="L29" s="6" t="n">
        <v>4.66</v>
      </c>
      <c r="M29" s="6" t="n">
        <v>1.49</v>
      </c>
      <c r="N29" s="6" t="n">
        <v>1.49</v>
      </c>
      <c r="O29" s="8" t="n">
        <v>0.15</v>
      </c>
    </row>
    <row r="30" customFormat="false" ht="15" hidden="false" customHeight="false" outlineLevel="0" collapsed="false">
      <c r="A30" s="9" t="s">
        <v>49</v>
      </c>
      <c r="B30" s="9" t="s">
        <v>18</v>
      </c>
      <c r="C30" s="9" t="s">
        <v>45</v>
      </c>
      <c r="D30" s="10" t="n">
        <v>4</v>
      </c>
      <c r="E30" s="11" t="n">
        <v>4.2</v>
      </c>
      <c r="F30" s="12" t="n">
        <f aca="false">E30*6</f>
        <v>25.2</v>
      </c>
      <c r="G30" s="12" t="n">
        <f aca="false">E30*12</f>
        <v>50.4</v>
      </c>
      <c r="H30" s="11" t="n">
        <v>5.35</v>
      </c>
      <c r="I30" s="11" t="n">
        <v>11.07</v>
      </c>
      <c r="J30" s="11" t="n">
        <v>11.07</v>
      </c>
      <c r="K30" s="11" t="n">
        <v>5.54</v>
      </c>
      <c r="L30" s="11" t="n">
        <v>5.54</v>
      </c>
      <c r="M30" s="11" t="n">
        <v>1.44</v>
      </c>
      <c r="N30" s="11" t="n">
        <v>1.44</v>
      </c>
      <c r="O30" s="13" t="n">
        <v>0.146</v>
      </c>
    </row>
    <row r="31" customFormat="false" ht="15" hidden="false" customHeight="false" outlineLevel="0" collapsed="false">
      <c r="A31" s="4" t="s">
        <v>50</v>
      </c>
      <c r="B31" s="4" t="s">
        <v>18</v>
      </c>
      <c r="C31" s="4" t="s">
        <v>51</v>
      </c>
      <c r="D31" s="5" t="n">
        <v>1.5</v>
      </c>
      <c r="E31" s="6" t="n">
        <v>2</v>
      </c>
      <c r="F31" s="7" t="n">
        <f aca="false">E31*6</f>
        <v>12</v>
      </c>
      <c r="G31" s="7" t="n">
        <f aca="false">E31*12</f>
        <v>24</v>
      </c>
      <c r="H31" s="6" t="n">
        <v>2.55</v>
      </c>
      <c r="I31" s="6" t="n">
        <v>7.95</v>
      </c>
      <c r="J31" s="6" t="n">
        <v>7.95</v>
      </c>
      <c r="K31" s="6" t="n">
        <v>3.54</v>
      </c>
      <c r="L31" s="6" t="n">
        <v>3.54</v>
      </c>
      <c r="M31" s="6" t="n">
        <v>1.77</v>
      </c>
      <c r="N31" s="6" t="n">
        <v>1.77</v>
      </c>
      <c r="O31" s="8" t="n">
        <v>0.175</v>
      </c>
    </row>
    <row r="32" customFormat="false" ht="15" hidden="false" customHeight="false" outlineLevel="0" collapsed="false">
      <c r="A32" s="9" t="s">
        <v>52</v>
      </c>
      <c r="B32" s="9" t="s">
        <v>18</v>
      </c>
      <c r="C32" s="9" t="s">
        <v>51</v>
      </c>
      <c r="D32" s="10" t="n">
        <v>2</v>
      </c>
      <c r="E32" s="11" t="n">
        <v>2.62</v>
      </c>
      <c r="F32" s="12" t="n">
        <f aca="false">E32*6</f>
        <v>15.72</v>
      </c>
      <c r="G32" s="12" t="n">
        <f aca="false">E32*12</f>
        <v>31.44</v>
      </c>
      <c r="H32" s="11" t="n">
        <v>3.34</v>
      </c>
      <c r="I32" s="11" t="n">
        <v>10.12</v>
      </c>
      <c r="J32" s="11" t="n">
        <v>10.12</v>
      </c>
      <c r="K32" s="11" t="n">
        <v>4.5</v>
      </c>
      <c r="L32" s="11" t="n">
        <v>4.5</v>
      </c>
      <c r="M32" s="11" t="n">
        <v>1.74</v>
      </c>
      <c r="N32" s="11" t="n">
        <v>1.74</v>
      </c>
      <c r="O32" s="13" t="n">
        <v>0.173</v>
      </c>
    </row>
    <row r="33" customFormat="false" ht="15" hidden="false" customHeight="false" outlineLevel="0" collapsed="false">
      <c r="A33" s="4" t="s">
        <v>53</v>
      </c>
      <c r="B33" s="4" t="s">
        <v>18</v>
      </c>
      <c r="C33" s="4" t="s">
        <v>51</v>
      </c>
      <c r="D33" s="5" t="n">
        <v>2.5</v>
      </c>
      <c r="E33" s="6" t="n">
        <v>3.21</v>
      </c>
      <c r="F33" s="7" t="n">
        <f aca="false">E33*6</f>
        <v>19.26</v>
      </c>
      <c r="G33" s="7" t="n">
        <f aca="false">E33*12</f>
        <v>38.52</v>
      </c>
      <c r="H33" s="6" t="n">
        <v>4.09</v>
      </c>
      <c r="I33" s="6" t="n">
        <v>12.06</v>
      </c>
      <c r="J33" s="6" t="n">
        <v>12.06</v>
      </c>
      <c r="K33" s="6" t="n">
        <v>5.36</v>
      </c>
      <c r="L33" s="6" t="n">
        <v>5.36</v>
      </c>
      <c r="M33" s="6" t="n">
        <v>1.72</v>
      </c>
      <c r="N33" s="6" t="n">
        <v>1.72</v>
      </c>
      <c r="O33" s="8" t="n">
        <v>0.171</v>
      </c>
    </row>
    <row r="34" customFormat="false" ht="15" hidden="false" customHeight="false" outlineLevel="0" collapsed="false">
      <c r="A34" s="9" t="s">
        <v>54</v>
      </c>
      <c r="B34" s="9" t="s">
        <v>18</v>
      </c>
      <c r="C34" s="9" t="s">
        <v>51</v>
      </c>
      <c r="D34" s="10" t="n">
        <v>3</v>
      </c>
      <c r="E34" s="11" t="n">
        <v>3.77</v>
      </c>
      <c r="F34" s="12" t="n">
        <f aca="false">E34*6</f>
        <v>22.62</v>
      </c>
      <c r="G34" s="12" t="n">
        <f aca="false">E34*12</f>
        <v>45.24</v>
      </c>
      <c r="H34" s="11" t="n">
        <v>4.81</v>
      </c>
      <c r="I34" s="11" t="n">
        <v>13.78</v>
      </c>
      <c r="J34" s="11" t="n">
        <v>13.78</v>
      </c>
      <c r="K34" s="11" t="n">
        <v>6.12</v>
      </c>
      <c r="L34" s="11" t="n">
        <v>6.12</v>
      </c>
      <c r="M34" s="11" t="n">
        <v>1.69</v>
      </c>
      <c r="N34" s="11" t="n">
        <v>1.69</v>
      </c>
      <c r="O34" s="13" t="n">
        <v>0.17</v>
      </c>
    </row>
    <row r="35" customFormat="false" ht="15" hidden="false" customHeight="false" outlineLevel="0" collapsed="false">
      <c r="A35" s="4" t="s">
        <v>55</v>
      </c>
      <c r="B35" s="4" t="s">
        <v>18</v>
      </c>
      <c r="C35" s="4" t="s">
        <v>51</v>
      </c>
      <c r="D35" s="5" t="n">
        <v>4</v>
      </c>
      <c r="E35" s="6" t="n">
        <v>4.83</v>
      </c>
      <c r="F35" s="7" t="n">
        <f aca="false">E35*6</f>
        <v>28.98</v>
      </c>
      <c r="G35" s="7" t="n">
        <f aca="false">E35*12</f>
        <v>57.96</v>
      </c>
      <c r="H35" s="6" t="n">
        <v>6.15</v>
      </c>
      <c r="I35" s="6" t="n">
        <v>16.61</v>
      </c>
      <c r="J35" s="6" t="n">
        <v>16.61</v>
      </c>
      <c r="K35" s="6" t="n">
        <v>7.38</v>
      </c>
      <c r="L35" s="6" t="n">
        <v>7.38</v>
      </c>
      <c r="M35" s="6" t="n">
        <v>1.64</v>
      </c>
      <c r="N35" s="6" t="n">
        <v>1.64</v>
      </c>
      <c r="O35" s="8" t="n">
        <v>0.166</v>
      </c>
    </row>
    <row r="36" customFormat="false" ht="15" hidden="false" customHeight="false" outlineLevel="0" collapsed="false">
      <c r="A36" s="9" t="s">
        <v>56</v>
      </c>
      <c r="B36" s="9" t="s">
        <v>18</v>
      </c>
      <c r="C36" s="9" t="s">
        <v>57</v>
      </c>
      <c r="D36" s="10" t="n">
        <v>1.5</v>
      </c>
      <c r="E36" s="11" t="n">
        <v>2.24</v>
      </c>
      <c r="F36" s="12" t="n">
        <f aca="false">E36*6</f>
        <v>13.44</v>
      </c>
      <c r="G36" s="12" t="n">
        <f aca="false">E36*12</f>
        <v>26.88</v>
      </c>
      <c r="H36" s="11" t="n">
        <v>2.85</v>
      </c>
      <c r="I36" s="11" t="n">
        <v>11.07</v>
      </c>
      <c r="J36" s="11" t="n">
        <v>11.07</v>
      </c>
      <c r="K36" s="11" t="n">
        <v>4.43</v>
      </c>
      <c r="L36" s="11" t="n">
        <v>4.43</v>
      </c>
      <c r="M36" s="11" t="n">
        <v>1.97</v>
      </c>
      <c r="N36" s="11" t="n">
        <v>1.97</v>
      </c>
      <c r="O36" s="13" t="n">
        <v>0.195</v>
      </c>
    </row>
    <row r="37" customFormat="false" ht="15" hidden="false" customHeight="false" outlineLevel="0" collapsed="false">
      <c r="A37" s="4" t="s">
        <v>58</v>
      </c>
      <c r="B37" s="4" t="s">
        <v>18</v>
      </c>
      <c r="C37" s="4" t="s">
        <v>57</v>
      </c>
      <c r="D37" s="5" t="n">
        <v>2</v>
      </c>
      <c r="E37" s="6" t="n">
        <v>2.93</v>
      </c>
      <c r="F37" s="7" t="n">
        <f aca="false">E37*6</f>
        <v>17.58</v>
      </c>
      <c r="G37" s="7" t="n">
        <f aca="false">E37*12</f>
        <v>35.16</v>
      </c>
      <c r="H37" s="6" t="n">
        <v>3.74</v>
      </c>
      <c r="I37" s="6" t="n">
        <v>14.15</v>
      </c>
      <c r="J37" s="6" t="n">
        <v>14.15</v>
      </c>
      <c r="K37" s="6" t="n">
        <v>5.66</v>
      </c>
      <c r="L37" s="6" t="n">
        <v>5.66</v>
      </c>
      <c r="M37" s="6" t="n">
        <v>1.95</v>
      </c>
      <c r="N37" s="6" t="n">
        <v>1.95</v>
      </c>
      <c r="O37" s="8" t="n">
        <v>0.193</v>
      </c>
    </row>
    <row r="38" customFormat="false" ht="15" hidden="false" customHeight="false" outlineLevel="0" collapsed="false">
      <c r="A38" s="9" t="s">
        <v>59</v>
      </c>
      <c r="B38" s="9" t="s">
        <v>18</v>
      </c>
      <c r="C38" s="9" t="s">
        <v>57</v>
      </c>
      <c r="D38" s="10" t="n">
        <v>2.5</v>
      </c>
      <c r="E38" s="11" t="n">
        <v>3.6</v>
      </c>
      <c r="F38" s="12" t="n">
        <f aca="false">E38*6</f>
        <v>21.6</v>
      </c>
      <c r="G38" s="12" t="n">
        <f aca="false">E38*12</f>
        <v>43.2</v>
      </c>
      <c r="H38" s="11" t="n">
        <v>4.59</v>
      </c>
      <c r="I38" s="11" t="n">
        <v>16.94</v>
      </c>
      <c r="J38" s="11" t="n">
        <v>16.94</v>
      </c>
      <c r="K38" s="11" t="n">
        <v>6.78</v>
      </c>
      <c r="L38" s="11" t="n">
        <v>6.78</v>
      </c>
      <c r="M38" s="11" t="n">
        <v>1.92</v>
      </c>
      <c r="N38" s="11" t="n">
        <v>1.92</v>
      </c>
      <c r="O38" s="13" t="n">
        <v>0.191</v>
      </c>
    </row>
    <row r="39" customFormat="false" ht="15" hidden="false" customHeight="false" outlineLevel="0" collapsed="false">
      <c r="A39" s="4" t="s">
        <v>60</v>
      </c>
      <c r="B39" s="4" t="s">
        <v>18</v>
      </c>
      <c r="C39" s="4" t="s">
        <v>57</v>
      </c>
      <c r="D39" s="5" t="n">
        <v>3</v>
      </c>
      <c r="E39" s="6" t="n">
        <v>4.25</v>
      </c>
      <c r="F39" s="7" t="n">
        <f aca="false">E39*6</f>
        <v>25.5</v>
      </c>
      <c r="G39" s="7" t="n">
        <f aca="false">E39*12</f>
        <v>51</v>
      </c>
      <c r="H39" s="6" t="n">
        <v>5.41</v>
      </c>
      <c r="I39" s="6" t="n">
        <v>19.47</v>
      </c>
      <c r="J39" s="6" t="n">
        <v>19.47</v>
      </c>
      <c r="K39" s="6" t="n">
        <v>7.79</v>
      </c>
      <c r="L39" s="6" t="n">
        <v>7.79</v>
      </c>
      <c r="M39" s="6" t="n">
        <v>1.9</v>
      </c>
      <c r="N39" s="6" t="n">
        <v>1.9</v>
      </c>
      <c r="O39" s="8" t="n">
        <v>0.19</v>
      </c>
    </row>
    <row r="40" customFormat="false" ht="15" hidden="false" customHeight="false" outlineLevel="0" collapsed="false">
      <c r="A40" s="9" t="s">
        <v>61</v>
      </c>
      <c r="B40" s="9" t="s">
        <v>18</v>
      </c>
      <c r="C40" s="9" t="s">
        <v>57</v>
      </c>
      <c r="D40" s="10" t="n">
        <v>4</v>
      </c>
      <c r="E40" s="11" t="n">
        <v>5.45</v>
      </c>
      <c r="F40" s="12" t="n">
        <f aca="false">E40*6</f>
        <v>32.7</v>
      </c>
      <c r="G40" s="12" t="n">
        <f aca="false">E40*12</f>
        <v>65.4</v>
      </c>
      <c r="H40" s="11" t="n">
        <v>6.95</v>
      </c>
      <c r="I40" s="11" t="n">
        <v>23.73</v>
      </c>
      <c r="J40" s="11" t="n">
        <v>23.73</v>
      </c>
      <c r="K40" s="11" t="n">
        <v>9.49</v>
      </c>
      <c r="L40" s="11" t="n">
        <v>9.49</v>
      </c>
      <c r="M40" s="11" t="n">
        <v>1.85</v>
      </c>
      <c r="N40" s="11" t="n">
        <v>1.85</v>
      </c>
      <c r="O40" s="13" t="n">
        <v>0.186</v>
      </c>
    </row>
    <row r="41" customFormat="false" ht="15" hidden="false" customHeight="false" outlineLevel="0" collapsed="false">
      <c r="A41" s="4" t="s">
        <v>62</v>
      </c>
      <c r="B41" s="4" t="s">
        <v>18</v>
      </c>
      <c r="C41" s="4" t="s">
        <v>63</v>
      </c>
      <c r="D41" s="5" t="n">
        <v>2</v>
      </c>
      <c r="E41" s="6" t="n">
        <v>3.56</v>
      </c>
      <c r="F41" s="7" t="n">
        <f aca="false">E41*6</f>
        <v>21.36</v>
      </c>
      <c r="G41" s="7" t="n">
        <f aca="false">E41*12</f>
        <v>42.72</v>
      </c>
      <c r="H41" s="6" t="n">
        <v>4.54</v>
      </c>
      <c r="I41" s="6" t="n">
        <v>25.14</v>
      </c>
      <c r="J41" s="6" t="n">
        <v>25.14</v>
      </c>
      <c r="K41" s="6" t="n">
        <v>8.38</v>
      </c>
      <c r="L41" s="6" t="n">
        <v>8.38</v>
      </c>
      <c r="M41" s="6" t="n">
        <v>2.35</v>
      </c>
      <c r="N41" s="6" t="n">
        <v>2.35</v>
      </c>
      <c r="O41" s="8" t="n">
        <v>0.233</v>
      </c>
    </row>
    <row r="42" customFormat="false" ht="15" hidden="false" customHeight="false" outlineLevel="0" collapsed="false">
      <c r="A42" s="9" t="s">
        <v>64</v>
      </c>
      <c r="B42" s="9" t="s">
        <v>18</v>
      </c>
      <c r="C42" s="9" t="s">
        <v>63</v>
      </c>
      <c r="D42" s="10" t="n">
        <v>2.5</v>
      </c>
      <c r="E42" s="11" t="n">
        <v>4.39</v>
      </c>
      <c r="F42" s="12" t="n">
        <f aca="false">E42*6</f>
        <v>26.34</v>
      </c>
      <c r="G42" s="12" t="n">
        <f aca="false">E42*12</f>
        <v>52.68</v>
      </c>
      <c r="H42" s="11" t="n">
        <v>5.59</v>
      </c>
      <c r="I42" s="11" t="n">
        <v>30.34</v>
      </c>
      <c r="J42" s="11" t="n">
        <v>30.34</v>
      </c>
      <c r="K42" s="11" t="n">
        <v>10.11</v>
      </c>
      <c r="L42" s="11" t="n">
        <v>10.11</v>
      </c>
      <c r="M42" s="11" t="n">
        <v>2.33</v>
      </c>
      <c r="N42" s="11" t="n">
        <v>2.33</v>
      </c>
      <c r="O42" s="13" t="n">
        <v>0.231</v>
      </c>
    </row>
    <row r="43" customFormat="false" ht="15" hidden="false" customHeight="false" outlineLevel="0" collapsed="false">
      <c r="A43" s="4" t="s">
        <v>65</v>
      </c>
      <c r="B43" s="4" t="s">
        <v>18</v>
      </c>
      <c r="C43" s="4" t="s">
        <v>63</v>
      </c>
      <c r="D43" s="5" t="n">
        <v>3</v>
      </c>
      <c r="E43" s="6" t="n">
        <v>5.19</v>
      </c>
      <c r="F43" s="7" t="n">
        <f aca="false">E43*6</f>
        <v>31.14</v>
      </c>
      <c r="G43" s="7" t="n">
        <f aca="false">E43*12</f>
        <v>62.28</v>
      </c>
      <c r="H43" s="6" t="n">
        <v>6.61</v>
      </c>
      <c r="I43" s="6" t="n">
        <v>35.13</v>
      </c>
      <c r="J43" s="6" t="n">
        <v>35.13</v>
      </c>
      <c r="K43" s="6" t="n">
        <v>11.71</v>
      </c>
      <c r="L43" s="6" t="n">
        <v>11.71</v>
      </c>
      <c r="M43" s="6" t="n">
        <v>2.31</v>
      </c>
      <c r="N43" s="6" t="n">
        <v>2.31</v>
      </c>
      <c r="O43" s="8" t="n">
        <v>0.23</v>
      </c>
    </row>
    <row r="44" customFormat="false" ht="15" hidden="false" customHeight="false" outlineLevel="0" collapsed="false">
      <c r="A44" s="9" t="s">
        <v>66</v>
      </c>
      <c r="B44" s="9" t="s">
        <v>18</v>
      </c>
      <c r="C44" s="9" t="s">
        <v>63</v>
      </c>
      <c r="D44" s="10" t="n">
        <v>4</v>
      </c>
      <c r="E44" s="11" t="n">
        <v>6.71</v>
      </c>
      <c r="F44" s="12" t="n">
        <f aca="false">E44*6</f>
        <v>40.26</v>
      </c>
      <c r="G44" s="12" t="n">
        <f aca="false">E44*12</f>
        <v>80.52</v>
      </c>
      <c r="H44" s="11" t="n">
        <v>8.55</v>
      </c>
      <c r="I44" s="11" t="n">
        <v>43.55</v>
      </c>
      <c r="J44" s="11" t="n">
        <v>43.55</v>
      </c>
      <c r="K44" s="11" t="n">
        <v>14.52</v>
      </c>
      <c r="L44" s="11" t="n">
        <v>14.52</v>
      </c>
      <c r="M44" s="11" t="n">
        <v>2.26</v>
      </c>
      <c r="N44" s="11" t="n">
        <v>2.26</v>
      </c>
      <c r="O44" s="13" t="n">
        <v>0.226</v>
      </c>
    </row>
    <row r="45" customFormat="false" ht="15" hidden="false" customHeight="false" outlineLevel="0" collapsed="false">
      <c r="A45" s="4" t="s">
        <v>67</v>
      </c>
      <c r="B45" s="4" t="s">
        <v>18</v>
      </c>
      <c r="C45" s="4" t="s">
        <v>63</v>
      </c>
      <c r="D45" s="5" t="n">
        <v>5</v>
      </c>
      <c r="E45" s="6" t="n">
        <v>8.13</v>
      </c>
      <c r="F45" s="7" t="n">
        <f aca="false">E45*6</f>
        <v>48.78</v>
      </c>
      <c r="G45" s="7" t="n">
        <f aca="false">E45*12</f>
        <v>97.56</v>
      </c>
      <c r="H45" s="6" t="n">
        <v>10.36</v>
      </c>
      <c r="I45" s="6" t="n">
        <v>50.49</v>
      </c>
      <c r="J45" s="6" t="n">
        <v>50.49</v>
      </c>
      <c r="K45" s="6" t="n">
        <v>16.83</v>
      </c>
      <c r="L45" s="6" t="n">
        <v>16.83</v>
      </c>
      <c r="M45" s="6" t="n">
        <v>2.21</v>
      </c>
      <c r="N45" s="6" t="n">
        <v>2.21</v>
      </c>
      <c r="O45" s="8" t="n">
        <v>0.223</v>
      </c>
    </row>
    <row r="46" customFormat="false" ht="15" hidden="false" customHeight="false" outlineLevel="0" collapsed="false">
      <c r="A46" s="9" t="s">
        <v>68</v>
      </c>
      <c r="B46" s="9" t="s">
        <v>18</v>
      </c>
      <c r="C46" s="9" t="s">
        <v>69</v>
      </c>
      <c r="D46" s="10" t="n">
        <v>2</v>
      </c>
      <c r="E46" s="11" t="n">
        <v>4.19</v>
      </c>
      <c r="F46" s="12" t="n">
        <f aca="false">E46*6</f>
        <v>25.14</v>
      </c>
      <c r="G46" s="12" t="n">
        <f aca="false">E46*12</f>
        <v>50.28</v>
      </c>
      <c r="H46" s="11" t="n">
        <v>5.34</v>
      </c>
      <c r="I46" s="11" t="n">
        <v>40.72</v>
      </c>
      <c r="J46" s="11" t="n">
        <v>40.72</v>
      </c>
      <c r="K46" s="11" t="n">
        <v>11.64</v>
      </c>
      <c r="L46" s="11" t="n">
        <v>11.64</v>
      </c>
      <c r="M46" s="11" t="n">
        <v>2.76</v>
      </c>
      <c r="N46" s="11" t="n">
        <v>2.76</v>
      </c>
      <c r="O46" s="13" t="n">
        <v>0.273</v>
      </c>
    </row>
    <row r="47" customFormat="false" ht="15" hidden="false" customHeight="false" outlineLevel="0" collapsed="false">
      <c r="A47" s="4" t="s">
        <v>70</v>
      </c>
      <c r="B47" s="4" t="s">
        <v>18</v>
      </c>
      <c r="C47" s="4" t="s">
        <v>69</v>
      </c>
      <c r="D47" s="5" t="n">
        <v>2.5</v>
      </c>
      <c r="E47" s="6" t="n">
        <v>5.17</v>
      </c>
      <c r="F47" s="7" t="n">
        <f aca="false">E47*6</f>
        <v>31.02</v>
      </c>
      <c r="G47" s="7" t="n">
        <f aca="false">E47*12</f>
        <v>62.04</v>
      </c>
      <c r="H47" s="6" t="n">
        <v>6.59</v>
      </c>
      <c r="I47" s="6" t="n">
        <v>49.41</v>
      </c>
      <c r="J47" s="6" t="n">
        <v>49.41</v>
      </c>
      <c r="K47" s="6" t="n">
        <v>14.12</v>
      </c>
      <c r="L47" s="6" t="n">
        <v>14.12</v>
      </c>
      <c r="M47" s="6" t="n">
        <v>2.74</v>
      </c>
      <c r="N47" s="6" t="n">
        <v>2.74</v>
      </c>
      <c r="O47" s="8" t="n">
        <v>0.271</v>
      </c>
    </row>
    <row r="48" customFormat="false" ht="15" hidden="false" customHeight="false" outlineLevel="0" collapsed="false">
      <c r="A48" s="9" t="s">
        <v>71</v>
      </c>
      <c r="B48" s="9" t="s">
        <v>18</v>
      </c>
      <c r="C48" s="9" t="s">
        <v>69</v>
      </c>
      <c r="D48" s="10" t="n">
        <v>3</v>
      </c>
      <c r="E48" s="11" t="n">
        <v>6.13</v>
      </c>
      <c r="F48" s="12" t="n">
        <f aca="false">E48*6</f>
        <v>36.78</v>
      </c>
      <c r="G48" s="12" t="n">
        <f aca="false">E48*12</f>
        <v>73.56</v>
      </c>
      <c r="H48" s="11" t="n">
        <v>7.81</v>
      </c>
      <c r="I48" s="11" t="n">
        <v>57.52</v>
      </c>
      <c r="J48" s="11" t="n">
        <v>57.52</v>
      </c>
      <c r="K48" s="11" t="n">
        <v>16.44</v>
      </c>
      <c r="L48" s="11" t="n">
        <v>16.44</v>
      </c>
      <c r="M48" s="11" t="n">
        <v>2.71</v>
      </c>
      <c r="N48" s="11" t="n">
        <v>2.71</v>
      </c>
      <c r="O48" s="13" t="n">
        <v>0.27</v>
      </c>
    </row>
    <row r="49" customFormat="false" ht="15" hidden="false" customHeight="false" outlineLevel="0" collapsed="false">
      <c r="A49" s="4" t="s">
        <v>72</v>
      </c>
      <c r="B49" s="4" t="s">
        <v>18</v>
      </c>
      <c r="C49" s="4" t="s">
        <v>69</v>
      </c>
      <c r="D49" s="5" t="n">
        <v>4</v>
      </c>
      <c r="E49" s="6" t="n">
        <v>7.97</v>
      </c>
      <c r="F49" s="7" t="n">
        <f aca="false">E49*6</f>
        <v>47.82</v>
      </c>
      <c r="G49" s="7" t="n">
        <f aca="false">E49*12</f>
        <v>95.64</v>
      </c>
      <c r="H49" s="6" t="n">
        <v>10.15</v>
      </c>
      <c r="I49" s="6" t="n">
        <v>72.12</v>
      </c>
      <c r="J49" s="6" t="n">
        <v>72.12</v>
      </c>
      <c r="K49" s="6" t="n">
        <v>20.6</v>
      </c>
      <c r="L49" s="6" t="n">
        <v>20.6</v>
      </c>
      <c r="M49" s="6" t="n">
        <v>2.67</v>
      </c>
      <c r="N49" s="6" t="n">
        <v>2.67</v>
      </c>
      <c r="O49" s="8" t="n">
        <v>0.266</v>
      </c>
    </row>
    <row r="50" customFormat="false" ht="15" hidden="false" customHeight="false" outlineLevel="0" collapsed="false">
      <c r="A50" s="9" t="s">
        <v>73</v>
      </c>
      <c r="B50" s="9" t="s">
        <v>18</v>
      </c>
      <c r="C50" s="9" t="s">
        <v>69</v>
      </c>
      <c r="D50" s="10" t="n">
        <v>5</v>
      </c>
      <c r="E50" s="11" t="n">
        <v>9.7</v>
      </c>
      <c r="F50" s="12" t="n">
        <f aca="false">E50*6</f>
        <v>58.2</v>
      </c>
      <c r="G50" s="12" t="n">
        <f aca="false">E50*12</f>
        <v>116.4</v>
      </c>
      <c r="H50" s="11" t="n">
        <v>12.36</v>
      </c>
      <c r="I50" s="11" t="n">
        <v>84.62</v>
      </c>
      <c r="J50" s="11" t="n">
        <v>84.62</v>
      </c>
      <c r="K50" s="11" t="n">
        <v>24.18</v>
      </c>
      <c r="L50" s="11" t="n">
        <v>24.18</v>
      </c>
      <c r="M50" s="11" t="n">
        <v>2.62</v>
      </c>
      <c r="N50" s="11" t="n">
        <v>2.62</v>
      </c>
      <c r="O50" s="13" t="n">
        <v>0.263</v>
      </c>
    </row>
    <row r="51" customFormat="false" ht="15" hidden="false" customHeight="false" outlineLevel="0" collapsed="false">
      <c r="A51" s="4" t="s">
        <v>74</v>
      </c>
      <c r="B51" s="4" t="s">
        <v>18</v>
      </c>
      <c r="C51" s="4" t="s">
        <v>75</v>
      </c>
      <c r="D51" s="5" t="n">
        <v>2</v>
      </c>
      <c r="E51" s="6" t="n">
        <v>4.82</v>
      </c>
      <c r="F51" s="7" t="n">
        <f aca="false">E51*6</f>
        <v>28.92</v>
      </c>
      <c r="G51" s="7" t="n">
        <f aca="false">E51*12</f>
        <v>57.84</v>
      </c>
      <c r="H51" s="6" t="n">
        <v>6.14</v>
      </c>
      <c r="I51" s="6" t="n">
        <v>61.7</v>
      </c>
      <c r="J51" s="6" t="n">
        <v>61.7</v>
      </c>
      <c r="K51" s="6" t="n">
        <v>15.42</v>
      </c>
      <c r="L51" s="6" t="n">
        <v>15.42</v>
      </c>
      <c r="M51" s="6" t="n">
        <v>3.17</v>
      </c>
      <c r="N51" s="6" t="n">
        <v>3.17</v>
      </c>
      <c r="O51" s="8" t="n">
        <v>0.313</v>
      </c>
    </row>
    <row r="52" customFormat="false" ht="15" hidden="false" customHeight="false" outlineLevel="0" collapsed="false">
      <c r="A52" s="9" t="s">
        <v>76</v>
      </c>
      <c r="B52" s="9" t="s">
        <v>18</v>
      </c>
      <c r="C52" s="9" t="s">
        <v>75</v>
      </c>
      <c r="D52" s="10" t="n">
        <v>2.5</v>
      </c>
      <c r="E52" s="11" t="n">
        <v>5.96</v>
      </c>
      <c r="F52" s="12" t="n">
        <f aca="false">E52*6</f>
        <v>35.76</v>
      </c>
      <c r="G52" s="12" t="n">
        <f aca="false">E52*12</f>
        <v>71.52</v>
      </c>
      <c r="H52" s="11" t="n">
        <v>7.59</v>
      </c>
      <c r="I52" s="11" t="n">
        <v>75.15</v>
      </c>
      <c r="J52" s="11" t="n">
        <v>75.15</v>
      </c>
      <c r="K52" s="11" t="n">
        <v>18.79</v>
      </c>
      <c r="L52" s="11" t="n">
        <v>18.79</v>
      </c>
      <c r="M52" s="11" t="n">
        <v>3.15</v>
      </c>
      <c r="N52" s="11" t="n">
        <v>3.15</v>
      </c>
      <c r="O52" s="13" t="n">
        <v>0.311</v>
      </c>
    </row>
    <row r="53" customFormat="false" ht="15" hidden="false" customHeight="false" outlineLevel="0" collapsed="false">
      <c r="A53" s="4" t="s">
        <v>77</v>
      </c>
      <c r="B53" s="4" t="s">
        <v>18</v>
      </c>
      <c r="C53" s="4" t="s">
        <v>75</v>
      </c>
      <c r="D53" s="5" t="n">
        <v>3</v>
      </c>
      <c r="E53" s="6" t="n">
        <v>7.07</v>
      </c>
      <c r="F53" s="7" t="n">
        <f aca="false">E53*6</f>
        <v>42.42</v>
      </c>
      <c r="G53" s="7" t="n">
        <f aca="false">E53*12</f>
        <v>84.84</v>
      </c>
      <c r="H53" s="6" t="n">
        <v>9.01</v>
      </c>
      <c r="I53" s="6" t="n">
        <v>87.84</v>
      </c>
      <c r="J53" s="6" t="n">
        <v>87.84</v>
      </c>
      <c r="K53" s="6" t="n">
        <v>21.96</v>
      </c>
      <c r="L53" s="6" t="n">
        <v>21.96</v>
      </c>
      <c r="M53" s="6" t="n">
        <v>3.12</v>
      </c>
      <c r="N53" s="6" t="n">
        <v>3.12</v>
      </c>
      <c r="O53" s="8" t="n">
        <v>0.31</v>
      </c>
    </row>
    <row r="54" customFormat="false" ht="15" hidden="false" customHeight="false" outlineLevel="0" collapsed="false">
      <c r="A54" s="9" t="s">
        <v>78</v>
      </c>
      <c r="B54" s="9" t="s">
        <v>18</v>
      </c>
      <c r="C54" s="9" t="s">
        <v>75</v>
      </c>
      <c r="D54" s="10" t="n">
        <v>4</v>
      </c>
      <c r="E54" s="11" t="n">
        <v>9.22</v>
      </c>
      <c r="F54" s="12" t="n">
        <f aca="false">E54*6</f>
        <v>55.32</v>
      </c>
      <c r="G54" s="12" t="n">
        <f aca="false">E54*12</f>
        <v>110.64</v>
      </c>
      <c r="H54" s="11" t="n">
        <v>11.75</v>
      </c>
      <c r="I54" s="11" t="n">
        <v>111.04</v>
      </c>
      <c r="J54" s="11" t="n">
        <v>111.04</v>
      </c>
      <c r="K54" s="11" t="n">
        <v>27.76</v>
      </c>
      <c r="L54" s="11" t="n">
        <v>27.76</v>
      </c>
      <c r="M54" s="11" t="n">
        <v>3.07</v>
      </c>
      <c r="N54" s="11" t="n">
        <v>3.07</v>
      </c>
      <c r="O54" s="13" t="n">
        <v>0.306</v>
      </c>
    </row>
    <row r="55" customFormat="false" ht="15" hidden="false" customHeight="false" outlineLevel="0" collapsed="false">
      <c r="A55" s="4" t="s">
        <v>79</v>
      </c>
      <c r="B55" s="4" t="s">
        <v>18</v>
      </c>
      <c r="C55" s="4" t="s">
        <v>75</v>
      </c>
      <c r="D55" s="5" t="n">
        <v>5</v>
      </c>
      <c r="E55" s="6" t="n">
        <v>11.27</v>
      </c>
      <c r="F55" s="7" t="n">
        <f aca="false">E55*6</f>
        <v>67.62</v>
      </c>
      <c r="G55" s="7" t="n">
        <f aca="false">E55*12</f>
        <v>135.24</v>
      </c>
      <c r="H55" s="6" t="n">
        <v>14.36</v>
      </c>
      <c r="I55" s="6" t="n">
        <v>131.43</v>
      </c>
      <c r="J55" s="6" t="n">
        <v>131.43</v>
      </c>
      <c r="K55" s="6" t="n">
        <v>32.86</v>
      </c>
      <c r="L55" s="6" t="n">
        <v>32.86</v>
      </c>
      <c r="M55" s="6" t="n">
        <v>3.03</v>
      </c>
      <c r="N55" s="6" t="n">
        <v>3.03</v>
      </c>
      <c r="O55" s="8" t="n">
        <v>0.303</v>
      </c>
    </row>
    <row r="56" customFormat="false" ht="15" hidden="false" customHeight="false" outlineLevel="0" collapsed="false">
      <c r="A56" s="9" t="s">
        <v>80</v>
      </c>
      <c r="B56" s="9" t="s">
        <v>18</v>
      </c>
      <c r="C56" s="9" t="s">
        <v>81</v>
      </c>
      <c r="D56" s="10" t="n">
        <v>2</v>
      </c>
      <c r="E56" s="11" t="n">
        <v>5.45</v>
      </c>
      <c r="F56" s="12" t="n">
        <f aca="false">E56*6</f>
        <v>32.7</v>
      </c>
      <c r="G56" s="12" t="n">
        <f aca="false">E56*12</f>
        <v>65.4</v>
      </c>
      <c r="H56" s="11" t="n">
        <v>6.94</v>
      </c>
      <c r="I56" s="11" t="n">
        <v>88.86</v>
      </c>
      <c r="J56" s="11" t="n">
        <v>88.86</v>
      </c>
      <c r="K56" s="11" t="n">
        <v>19.75</v>
      </c>
      <c r="L56" s="11" t="n">
        <v>19.75</v>
      </c>
      <c r="M56" s="11" t="n">
        <v>3.58</v>
      </c>
      <c r="N56" s="11" t="n">
        <v>3.58</v>
      </c>
      <c r="O56" s="13" t="n">
        <v>0.353</v>
      </c>
    </row>
    <row r="57" customFormat="false" ht="15" hidden="false" customHeight="false" outlineLevel="0" collapsed="false">
      <c r="A57" s="4" t="s">
        <v>82</v>
      </c>
      <c r="B57" s="4" t="s">
        <v>18</v>
      </c>
      <c r="C57" s="4" t="s">
        <v>81</v>
      </c>
      <c r="D57" s="5" t="n">
        <v>2.5</v>
      </c>
      <c r="E57" s="6" t="n">
        <v>6.74</v>
      </c>
      <c r="F57" s="7" t="n">
        <f aca="false">E57*6</f>
        <v>40.44</v>
      </c>
      <c r="G57" s="7" t="n">
        <f aca="false">E57*12</f>
        <v>80.88</v>
      </c>
      <c r="H57" s="6" t="n">
        <v>8.59</v>
      </c>
      <c r="I57" s="6" t="n">
        <v>108.55</v>
      </c>
      <c r="J57" s="6" t="n">
        <v>108.55</v>
      </c>
      <c r="K57" s="6" t="n">
        <v>24.12</v>
      </c>
      <c r="L57" s="6" t="n">
        <v>24.12</v>
      </c>
      <c r="M57" s="6" t="n">
        <v>3.56</v>
      </c>
      <c r="N57" s="6" t="n">
        <v>3.56</v>
      </c>
      <c r="O57" s="8" t="n">
        <v>0.351</v>
      </c>
    </row>
    <row r="58" customFormat="false" ht="15" hidden="false" customHeight="false" outlineLevel="0" collapsed="false">
      <c r="A58" s="9" t="s">
        <v>83</v>
      </c>
      <c r="B58" s="9" t="s">
        <v>18</v>
      </c>
      <c r="C58" s="9" t="s">
        <v>81</v>
      </c>
      <c r="D58" s="10" t="n">
        <v>3</v>
      </c>
      <c r="E58" s="11" t="n">
        <v>8.01</v>
      </c>
      <c r="F58" s="12" t="n">
        <f aca="false">E58*6</f>
        <v>48.06</v>
      </c>
      <c r="G58" s="12" t="n">
        <f aca="false">E58*12</f>
        <v>96.12</v>
      </c>
      <c r="H58" s="11" t="n">
        <v>10.21</v>
      </c>
      <c r="I58" s="11" t="n">
        <v>127.28</v>
      </c>
      <c r="J58" s="11" t="n">
        <v>127.28</v>
      </c>
      <c r="K58" s="11" t="n">
        <v>28.28</v>
      </c>
      <c r="L58" s="11" t="n">
        <v>28.28</v>
      </c>
      <c r="M58" s="11" t="n">
        <v>3.53</v>
      </c>
      <c r="N58" s="11" t="n">
        <v>3.53</v>
      </c>
      <c r="O58" s="13" t="n">
        <v>0.35</v>
      </c>
    </row>
    <row r="59" customFormat="false" ht="15" hidden="false" customHeight="false" outlineLevel="0" collapsed="false">
      <c r="A59" s="4" t="s">
        <v>84</v>
      </c>
      <c r="B59" s="4" t="s">
        <v>18</v>
      </c>
      <c r="C59" s="4" t="s">
        <v>81</v>
      </c>
      <c r="D59" s="5" t="n">
        <v>4</v>
      </c>
      <c r="E59" s="6" t="n">
        <v>10.48</v>
      </c>
      <c r="F59" s="7" t="n">
        <f aca="false">E59*6</f>
        <v>62.88</v>
      </c>
      <c r="G59" s="7" t="n">
        <f aca="false">E59*12</f>
        <v>125.76</v>
      </c>
      <c r="H59" s="6" t="n">
        <v>13.35</v>
      </c>
      <c r="I59" s="6" t="n">
        <v>161.91</v>
      </c>
      <c r="J59" s="6" t="n">
        <v>161.91</v>
      </c>
      <c r="K59" s="6" t="n">
        <v>35.98</v>
      </c>
      <c r="L59" s="6" t="n">
        <v>35.98</v>
      </c>
      <c r="M59" s="6" t="n">
        <v>3.48</v>
      </c>
      <c r="N59" s="6" t="n">
        <v>3.48</v>
      </c>
      <c r="O59" s="8" t="n">
        <v>0.346</v>
      </c>
    </row>
    <row r="60" customFormat="false" ht="15" hidden="false" customHeight="false" outlineLevel="0" collapsed="false">
      <c r="A60" s="9" t="s">
        <v>85</v>
      </c>
      <c r="B60" s="9" t="s">
        <v>18</v>
      </c>
      <c r="C60" s="9" t="s">
        <v>81</v>
      </c>
      <c r="D60" s="10" t="n">
        <v>5</v>
      </c>
      <c r="E60" s="11" t="n">
        <v>12.84</v>
      </c>
      <c r="F60" s="12" t="n">
        <f aca="false">E60*6</f>
        <v>77.04</v>
      </c>
      <c r="G60" s="12" t="n">
        <f aca="false">E60*12</f>
        <v>154.08</v>
      </c>
      <c r="H60" s="11" t="n">
        <v>16.36</v>
      </c>
      <c r="I60" s="11" t="n">
        <v>192.92</v>
      </c>
      <c r="J60" s="11" t="n">
        <v>192.92</v>
      </c>
      <c r="K60" s="11" t="n">
        <v>42.87</v>
      </c>
      <c r="L60" s="11" t="n">
        <v>42.87</v>
      </c>
      <c r="M60" s="11" t="n">
        <v>3.43</v>
      </c>
      <c r="N60" s="11" t="n">
        <v>3.43</v>
      </c>
      <c r="O60" s="13" t="n">
        <v>0.343</v>
      </c>
    </row>
    <row r="61" customFormat="false" ht="15" hidden="false" customHeight="false" outlineLevel="0" collapsed="false">
      <c r="A61" s="4" t="s">
        <v>86</v>
      </c>
      <c r="B61" s="4" t="s">
        <v>18</v>
      </c>
      <c r="C61" s="4" t="s">
        <v>81</v>
      </c>
      <c r="D61" s="5" t="n">
        <v>6</v>
      </c>
      <c r="E61" s="6" t="n">
        <v>15.1</v>
      </c>
      <c r="F61" s="7" t="n">
        <f aca="false">E61*6</f>
        <v>90.6</v>
      </c>
      <c r="G61" s="7" t="n">
        <f aca="false">E61*12</f>
        <v>181.2</v>
      </c>
      <c r="H61" s="6" t="n">
        <v>19.23</v>
      </c>
      <c r="I61" s="6" t="n">
        <v>220.46</v>
      </c>
      <c r="J61" s="6" t="n">
        <v>220.46</v>
      </c>
      <c r="K61" s="6" t="n">
        <v>48.99</v>
      </c>
      <c r="L61" s="6" t="n">
        <v>48.99</v>
      </c>
      <c r="M61" s="6" t="n">
        <v>3.39</v>
      </c>
      <c r="N61" s="6" t="n">
        <v>3.39</v>
      </c>
      <c r="O61" s="8" t="n">
        <v>0.339</v>
      </c>
    </row>
    <row r="62" customFormat="false" ht="15" hidden="false" customHeight="false" outlineLevel="0" collapsed="false">
      <c r="A62" s="9" t="s">
        <v>87</v>
      </c>
      <c r="B62" s="9" t="s">
        <v>18</v>
      </c>
      <c r="C62" s="9" t="s">
        <v>88</v>
      </c>
      <c r="D62" s="10" t="n">
        <v>2</v>
      </c>
      <c r="E62" s="11" t="n">
        <v>6.07</v>
      </c>
      <c r="F62" s="12" t="n">
        <f aca="false">E62*6</f>
        <v>36.42</v>
      </c>
      <c r="G62" s="12" t="n">
        <f aca="false">E62*12</f>
        <v>72.84</v>
      </c>
      <c r="H62" s="11" t="n">
        <v>7.74</v>
      </c>
      <c r="I62" s="11" t="n">
        <v>123.01</v>
      </c>
      <c r="J62" s="11" t="n">
        <v>123.01</v>
      </c>
      <c r="K62" s="11" t="n">
        <v>24.6</v>
      </c>
      <c r="L62" s="11" t="n">
        <v>24.6</v>
      </c>
      <c r="M62" s="11" t="n">
        <v>3.99</v>
      </c>
      <c r="N62" s="11" t="n">
        <v>3.99</v>
      </c>
      <c r="O62" s="13" t="n">
        <v>0.393</v>
      </c>
    </row>
    <row r="63" customFormat="false" ht="15" hidden="false" customHeight="false" outlineLevel="0" collapsed="false">
      <c r="A63" s="4" t="s">
        <v>89</v>
      </c>
      <c r="B63" s="4" t="s">
        <v>18</v>
      </c>
      <c r="C63" s="4" t="s">
        <v>88</v>
      </c>
      <c r="D63" s="5" t="n">
        <v>2.5</v>
      </c>
      <c r="E63" s="6" t="n">
        <v>7.53</v>
      </c>
      <c r="F63" s="7" t="n">
        <f aca="false">E63*6</f>
        <v>45.18</v>
      </c>
      <c r="G63" s="7" t="n">
        <f aca="false">E63*12</f>
        <v>90.36</v>
      </c>
      <c r="H63" s="6" t="n">
        <v>9.59</v>
      </c>
      <c r="I63" s="6" t="n">
        <v>150.63</v>
      </c>
      <c r="J63" s="6" t="n">
        <v>150.63</v>
      </c>
      <c r="K63" s="6" t="n">
        <v>30.13</v>
      </c>
      <c r="L63" s="6" t="n">
        <v>30.13</v>
      </c>
      <c r="M63" s="6" t="n">
        <v>3.96</v>
      </c>
      <c r="N63" s="6" t="n">
        <v>3.96</v>
      </c>
      <c r="O63" s="8" t="n">
        <v>0.391</v>
      </c>
    </row>
    <row r="64" customFormat="false" ht="15" hidden="false" customHeight="false" outlineLevel="0" collapsed="false">
      <c r="A64" s="9" t="s">
        <v>90</v>
      </c>
      <c r="B64" s="9" t="s">
        <v>18</v>
      </c>
      <c r="C64" s="9" t="s">
        <v>88</v>
      </c>
      <c r="D64" s="10" t="n">
        <v>3</v>
      </c>
      <c r="E64" s="11" t="n">
        <v>8.96</v>
      </c>
      <c r="F64" s="12" t="n">
        <f aca="false">E64*6</f>
        <v>53.76</v>
      </c>
      <c r="G64" s="12" t="n">
        <f aca="false">E64*12</f>
        <v>107.52</v>
      </c>
      <c r="H64" s="11" t="n">
        <v>11.41</v>
      </c>
      <c r="I64" s="11" t="n">
        <v>177.04</v>
      </c>
      <c r="J64" s="11" t="n">
        <v>177.04</v>
      </c>
      <c r="K64" s="11" t="n">
        <v>35.41</v>
      </c>
      <c r="L64" s="11" t="n">
        <v>35.41</v>
      </c>
      <c r="M64" s="11" t="n">
        <v>3.94</v>
      </c>
      <c r="N64" s="11" t="n">
        <v>3.94</v>
      </c>
      <c r="O64" s="13" t="n">
        <v>0.39</v>
      </c>
    </row>
    <row r="65" customFormat="false" ht="15" hidden="false" customHeight="false" outlineLevel="0" collapsed="false">
      <c r="A65" s="4" t="s">
        <v>91</v>
      </c>
      <c r="B65" s="4" t="s">
        <v>18</v>
      </c>
      <c r="C65" s="4" t="s">
        <v>88</v>
      </c>
      <c r="D65" s="5" t="n">
        <v>4</v>
      </c>
      <c r="E65" s="6" t="n">
        <v>11.73</v>
      </c>
      <c r="F65" s="7" t="n">
        <f aca="false">E65*6</f>
        <v>70.38</v>
      </c>
      <c r="G65" s="7" t="n">
        <f aca="false">E65*12</f>
        <v>140.76</v>
      </c>
      <c r="H65" s="6" t="n">
        <v>14.95</v>
      </c>
      <c r="I65" s="6" t="n">
        <v>226.34</v>
      </c>
      <c r="J65" s="6" t="n">
        <v>226.34</v>
      </c>
      <c r="K65" s="6" t="n">
        <v>45.27</v>
      </c>
      <c r="L65" s="6" t="n">
        <v>45.27</v>
      </c>
      <c r="M65" s="6" t="n">
        <v>3.89</v>
      </c>
      <c r="N65" s="6" t="n">
        <v>3.89</v>
      </c>
      <c r="O65" s="8" t="n">
        <v>0.386</v>
      </c>
    </row>
    <row r="66" customFormat="false" ht="15" hidden="false" customHeight="false" outlineLevel="0" collapsed="false">
      <c r="A66" s="9" t="s">
        <v>92</v>
      </c>
      <c r="B66" s="9" t="s">
        <v>18</v>
      </c>
      <c r="C66" s="9" t="s">
        <v>88</v>
      </c>
      <c r="D66" s="10" t="n">
        <v>5</v>
      </c>
      <c r="E66" s="11" t="n">
        <v>14.41</v>
      </c>
      <c r="F66" s="12" t="n">
        <f aca="false">E66*6</f>
        <v>86.46</v>
      </c>
      <c r="G66" s="12" t="n">
        <f aca="false">E66*12</f>
        <v>172.92</v>
      </c>
      <c r="H66" s="11" t="n">
        <v>18.36</v>
      </c>
      <c r="I66" s="11" t="n">
        <v>271.09</v>
      </c>
      <c r="J66" s="11" t="n">
        <v>271.09</v>
      </c>
      <c r="K66" s="11" t="n">
        <v>54.22</v>
      </c>
      <c r="L66" s="11" t="n">
        <v>54.22</v>
      </c>
      <c r="M66" s="11" t="n">
        <v>3.84</v>
      </c>
      <c r="N66" s="11" t="n">
        <v>3.84</v>
      </c>
      <c r="O66" s="13" t="n">
        <v>0.383</v>
      </c>
    </row>
    <row r="67" customFormat="false" ht="15" hidden="false" customHeight="false" outlineLevel="0" collapsed="false">
      <c r="A67" s="4" t="s">
        <v>93</v>
      </c>
      <c r="B67" s="4" t="s">
        <v>18</v>
      </c>
      <c r="C67" s="4" t="s">
        <v>88</v>
      </c>
      <c r="D67" s="5" t="n">
        <v>6</v>
      </c>
      <c r="E67" s="6" t="n">
        <v>16.98</v>
      </c>
      <c r="F67" s="7" t="n">
        <f aca="false">E67*6</f>
        <v>101.88</v>
      </c>
      <c r="G67" s="7" t="n">
        <f aca="false">E67*12</f>
        <v>203.76</v>
      </c>
      <c r="H67" s="6" t="n">
        <v>21.63</v>
      </c>
      <c r="I67" s="6" t="n">
        <v>311.45</v>
      </c>
      <c r="J67" s="6" t="n">
        <v>311.45</v>
      </c>
      <c r="K67" s="6" t="n">
        <v>62.29</v>
      </c>
      <c r="L67" s="6" t="n">
        <v>62.29</v>
      </c>
      <c r="M67" s="6" t="n">
        <v>3.79</v>
      </c>
      <c r="N67" s="6" t="n">
        <v>3.79</v>
      </c>
      <c r="O67" s="8" t="n">
        <v>0.379</v>
      </c>
    </row>
    <row r="68" customFormat="false" ht="15" hidden="false" customHeight="false" outlineLevel="0" collapsed="false">
      <c r="A68" s="9" t="s">
        <v>94</v>
      </c>
      <c r="B68" s="9" t="s">
        <v>18</v>
      </c>
      <c r="C68" s="9" t="s">
        <v>95</v>
      </c>
      <c r="D68" s="10" t="n">
        <v>3</v>
      </c>
      <c r="E68" s="11" t="n">
        <v>10.84</v>
      </c>
      <c r="F68" s="12" t="n">
        <f aca="false">E68*6</f>
        <v>65.04</v>
      </c>
      <c r="G68" s="12" t="n">
        <f aca="false">E68*12</f>
        <v>130.08</v>
      </c>
      <c r="H68" s="11" t="n">
        <v>13.81</v>
      </c>
      <c r="I68" s="11" t="n">
        <v>312.34</v>
      </c>
      <c r="J68" s="11" t="n">
        <v>312.34</v>
      </c>
      <c r="K68" s="11" t="n">
        <v>52.06</v>
      </c>
      <c r="L68" s="11" t="n">
        <v>52.06</v>
      </c>
      <c r="M68" s="11" t="n">
        <v>4.76</v>
      </c>
      <c r="N68" s="11" t="n">
        <v>4.76</v>
      </c>
      <c r="O68" s="13" t="n">
        <v>0.47</v>
      </c>
    </row>
    <row r="69" customFormat="false" ht="15" hidden="false" customHeight="false" outlineLevel="0" collapsed="false">
      <c r="A69" s="4" t="s">
        <v>96</v>
      </c>
      <c r="B69" s="4" t="s">
        <v>18</v>
      </c>
      <c r="C69" s="4" t="s">
        <v>95</v>
      </c>
      <c r="D69" s="5" t="n">
        <v>4</v>
      </c>
      <c r="E69" s="6" t="n">
        <v>14.25</v>
      </c>
      <c r="F69" s="7" t="n">
        <f aca="false">E69*6</f>
        <v>85.5</v>
      </c>
      <c r="G69" s="7" t="n">
        <f aca="false">E69*12</f>
        <v>171</v>
      </c>
      <c r="H69" s="6" t="n">
        <v>18.15</v>
      </c>
      <c r="I69" s="6" t="n">
        <v>402.26</v>
      </c>
      <c r="J69" s="6" t="n">
        <v>402.26</v>
      </c>
      <c r="K69" s="6" t="n">
        <v>67.04</v>
      </c>
      <c r="L69" s="6" t="n">
        <v>67.04</v>
      </c>
      <c r="M69" s="6" t="n">
        <v>4.71</v>
      </c>
      <c r="N69" s="6" t="n">
        <v>4.71</v>
      </c>
      <c r="O69" s="8" t="n">
        <v>0.466</v>
      </c>
    </row>
    <row r="70" customFormat="false" ht="15" hidden="false" customHeight="false" outlineLevel="0" collapsed="false">
      <c r="A70" s="9" t="s">
        <v>97</v>
      </c>
      <c r="B70" s="9" t="s">
        <v>18</v>
      </c>
      <c r="C70" s="9" t="s">
        <v>95</v>
      </c>
      <c r="D70" s="10" t="n">
        <v>5</v>
      </c>
      <c r="E70" s="11" t="n">
        <v>17.55</v>
      </c>
      <c r="F70" s="12" t="n">
        <f aca="false">E70*6</f>
        <v>105.3</v>
      </c>
      <c r="G70" s="12" t="n">
        <f aca="false">E70*12</f>
        <v>210.6</v>
      </c>
      <c r="H70" s="11" t="n">
        <v>22.36</v>
      </c>
      <c r="I70" s="11" t="n">
        <v>485.45</v>
      </c>
      <c r="J70" s="11" t="n">
        <v>485.45</v>
      </c>
      <c r="K70" s="11" t="n">
        <v>80.91</v>
      </c>
      <c r="L70" s="11" t="n">
        <v>80.91</v>
      </c>
      <c r="M70" s="11" t="n">
        <v>4.66</v>
      </c>
      <c r="N70" s="11" t="n">
        <v>4.66</v>
      </c>
      <c r="O70" s="13" t="n">
        <v>0.463</v>
      </c>
    </row>
    <row r="71" customFormat="false" ht="15" hidden="false" customHeight="false" outlineLevel="0" collapsed="false">
      <c r="A71" s="4" t="s">
        <v>98</v>
      </c>
      <c r="B71" s="4" t="s">
        <v>18</v>
      </c>
      <c r="C71" s="4" t="s">
        <v>95</v>
      </c>
      <c r="D71" s="5" t="n">
        <v>6</v>
      </c>
      <c r="E71" s="6" t="n">
        <v>20.75</v>
      </c>
      <c r="F71" s="7" t="n">
        <f aca="false">E71*6</f>
        <v>124.5</v>
      </c>
      <c r="G71" s="7" t="n">
        <f aca="false">E71*12</f>
        <v>249</v>
      </c>
      <c r="H71" s="6" t="n">
        <v>26.43</v>
      </c>
      <c r="I71" s="6" t="n">
        <v>562.13</v>
      </c>
      <c r="J71" s="6" t="n">
        <v>562.13</v>
      </c>
      <c r="K71" s="6" t="n">
        <v>93.69</v>
      </c>
      <c r="L71" s="6" t="n">
        <v>93.69</v>
      </c>
      <c r="M71" s="6" t="n">
        <v>4.61</v>
      </c>
      <c r="N71" s="6" t="n">
        <v>4.61</v>
      </c>
      <c r="O71" s="8" t="n">
        <v>0.459</v>
      </c>
    </row>
    <row r="72" customFormat="false" ht="15" hidden="false" customHeight="false" outlineLevel="0" collapsed="false">
      <c r="A72" s="9" t="s">
        <v>99</v>
      </c>
      <c r="B72" s="9" t="s">
        <v>18</v>
      </c>
      <c r="C72" s="9" t="s">
        <v>95</v>
      </c>
      <c r="D72" s="10" t="n">
        <v>8</v>
      </c>
      <c r="E72" s="11" t="n">
        <v>26.41</v>
      </c>
      <c r="F72" s="12" t="n">
        <f aca="false">E72*6</f>
        <v>158.46</v>
      </c>
      <c r="G72" s="12" t="n">
        <f aca="false">E72*12</f>
        <v>316.92</v>
      </c>
      <c r="H72" s="11" t="n">
        <v>33.64</v>
      </c>
      <c r="I72" s="11" t="n">
        <v>676.81</v>
      </c>
      <c r="J72" s="11" t="n">
        <v>676.81</v>
      </c>
      <c r="K72" s="11" t="n">
        <v>112.8</v>
      </c>
      <c r="L72" s="11" t="n">
        <v>112.8</v>
      </c>
      <c r="M72" s="11" t="n">
        <v>4.49</v>
      </c>
      <c r="N72" s="11" t="n">
        <v>4.49</v>
      </c>
      <c r="O72" s="13" t="n">
        <v>0.446</v>
      </c>
    </row>
    <row r="73" customFormat="false" ht="15" hidden="false" customHeight="false" outlineLevel="0" collapsed="false">
      <c r="A73" s="4" t="s">
        <v>100</v>
      </c>
      <c r="B73" s="4" t="s">
        <v>18</v>
      </c>
      <c r="C73" s="4" t="s">
        <v>101</v>
      </c>
      <c r="D73" s="5" t="n">
        <v>3</v>
      </c>
      <c r="E73" s="6" t="n">
        <v>12.72</v>
      </c>
      <c r="F73" s="7" t="n">
        <f aca="false">E73*6</f>
        <v>76.32</v>
      </c>
      <c r="G73" s="7" t="n">
        <f aca="false">E73*12</f>
        <v>152.64</v>
      </c>
      <c r="H73" s="6" t="n">
        <v>16.21</v>
      </c>
      <c r="I73" s="6" t="n">
        <v>503.33</v>
      </c>
      <c r="J73" s="6" t="n">
        <v>503.33</v>
      </c>
      <c r="K73" s="6" t="n">
        <v>71.9</v>
      </c>
      <c r="L73" s="6" t="n">
        <v>71.9</v>
      </c>
      <c r="M73" s="6" t="n">
        <v>5.57</v>
      </c>
      <c r="N73" s="6" t="n">
        <v>5.57</v>
      </c>
      <c r="O73" s="8" t="n">
        <v>0.55</v>
      </c>
    </row>
    <row r="74" customFormat="false" ht="15" hidden="false" customHeight="false" outlineLevel="0" collapsed="false">
      <c r="A74" s="9" t="s">
        <v>102</v>
      </c>
      <c r="B74" s="9" t="s">
        <v>18</v>
      </c>
      <c r="C74" s="9" t="s">
        <v>101</v>
      </c>
      <c r="D74" s="10" t="n">
        <v>4</v>
      </c>
      <c r="E74" s="11" t="n">
        <v>16.76</v>
      </c>
      <c r="F74" s="12" t="n">
        <f aca="false">E74*6</f>
        <v>100.56</v>
      </c>
      <c r="G74" s="12" t="n">
        <f aca="false">E74*12</f>
        <v>201.12</v>
      </c>
      <c r="H74" s="11" t="n">
        <v>21.35</v>
      </c>
      <c r="I74" s="11" t="n">
        <v>651.6</v>
      </c>
      <c r="J74" s="11" t="n">
        <v>651.6</v>
      </c>
      <c r="K74" s="11" t="n">
        <v>93.09</v>
      </c>
      <c r="L74" s="11" t="n">
        <v>93.09</v>
      </c>
      <c r="M74" s="11" t="n">
        <v>5.52</v>
      </c>
      <c r="N74" s="11" t="n">
        <v>5.52</v>
      </c>
      <c r="O74" s="13" t="n">
        <v>0.546</v>
      </c>
    </row>
    <row r="75" customFormat="false" ht="15" hidden="false" customHeight="false" outlineLevel="0" collapsed="false">
      <c r="A75" s="4" t="s">
        <v>103</v>
      </c>
      <c r="B75" s="4" t="s">
        <v>18</v>
      </c>
      <c r="C75" s="4" t="s">
        <v>101</v>
      </c>
      <c r="D75" s="5" t="n">
        <v>5</v>
      </c>
      <c r="E75" s="6" t="n">
        <v>20.69</v>
      </c>
      <c r="F75" s="7" t="n">
        <f aca="false">E75*6</f>
        <v>124.14</v>
      </c>
      <c r="G75" s="7" t="n">
        <f aca="false">E75*12</f>
        <v>248.28</v>
      </c>
      <c r="H75" s="6" t="n">
        <v>26.36</v>
      </c>
      <c r="I75" s="6" t="n">
        <v>790.53</v>
      </c>
      <c r="J75" s="6" t="n">
        <v>790.53</v>
      </c>
      <c r="K75" s="6" t="n">
        <v>112.93</v>
      </c>
      <c r="L75" s="6" t="n">
        <v>112.93</v>
      </c>
      <c r="M75" s="6" t="n">
        <v>5.48</v>
      </c>
      <c r="N75" s="6" t="n">
        <v>5.48</v>
      </c>
      <c r="O75" s="8" t="n">
        <v>0.543</v>
      </c>
    </row>
    <row r="76" customFormat="false" ht="15" hidden="false" customHeight="false" outlineLevel="0" collapsed="false">
      <c r="A76" s="9" t="s">
        <v>104</v>
      </c>
      <c r="B76" s="9" t="s">
        <v>18</v>
      </c>
      <c r="C76" s="9" t="s">
        <v>101</v>
      </c>
      <c r="D76" s="10" t="n">
        <v>6</v>
      </c>
      <c r="E76" s="11" t="n">
        <v>24.52</v>
      </c>
      <c r="F76" s="12" t="n">
        <f aca="false">E76*6</f>
        <v>147.12</v>
      </c>
      <c r="G76" s="12" t="n">
        <f aca="false">E76*12</f>
        <v>294.24</v>
      </c>
      <c r="H76" s="11" t="n">
        <v>31.23</v>
      </c>
      <c r="I76" s="11" t="n">
        <v>920.39</v>
      </c>
      <c r="J76" s="11" t="n">
        <v>920.39</v>
      </c>
      <c r="K76" s="11" t="n">
        <v>131.48</v>
      </c>
      <c r="L76" s="11" t="n">
        <v>131.48</v>
      </c>
      <c r="M76" s="11" t="n">
        <v>5.43</v>
      </c>
      <c r="N76" s="11" t="n">
        <v>5.43</v>
      </c>
      <c r="O76" s="13" t="n">
        <v>0.539</v>
      </c>
    </row>
    <row r="77" customFormat="false" ht="15" hidden="false" customHeight="false" outlineLevel="0" collapsed="false">
      <c r="A77" s="4" t="s">
        <v>105</v>
      </c>
      <c r="B77" s="4" t="s">
        <v>18</v>
      </c>
      <c r="C77" s="4" t="s">
        <v>101</v>
      </c>
      <c r="D77" s="5" t="n">
        <v>8</v>
      </c>
      <c r="E77" s="6" t="n">
        <v>31.43</v>
      </c>
      <c r="F77" s="7" t="n">
        <f aca="false">E77*6</f>
        <v>188.58</v>
      </c>
      <c r="G77" s="7" t="n">
        <f aca="false">E77*12</f>
        <v>377.16</v>
      </c>
      <c r="H77" s="6" t="n">
        <v>40.04</v>
      </c>
      <c r="I77" s="6" t="n">
        <v>1126.68</v>
      </c>
      <c r="J77" s="6" t="n">
        <v>1126.68</v>
      </c>
      <c r="K77" s="6" t="n">
        <v>160.95</v>
      </c>
      <c r="L77" s="6" t="n">
        <v>160.95</v>
      </c>
      <c r="M77" s="6" t="n">
        <v>5.3</v>
      </c>
      <c r="N77" s="6" t="n">
        <v>5.3</v>
      </c>
      <c r="O77" s="8" t="n">
        <v>0.526</v>
      </c>
    </row>
    <row r="78" customFormat="false" ht="15" hidden="false" customHeight="false" outlineLevel="0" collapsed="false">
      <c r="A78" s="9" t="s">
        <v>106</v>
      </c>
      <c r="B78" s="9" t="s">
        <v>18</v>
      </c>
      <c r="C78" s="9" t="s">
        <v>107</v>
      </c>
      <c r="D78" s="10" t="n">
        <v>3</v>
      </c>
      <c r="E78" s="11" t="n">
        <v>13.67</v>
      </c>
      <c r="F78" s="12" t="n">
        <f aca="false">E78*6</f>
        <v>82.02</v>
      </c>
      <c r="G78" s="12" t="n">
        <f aca="false">E78*12</f>
        <v>164.04</v>
      </c>
      <c r="H78" s="11" t="n">
        <v>17.41</v>
      </c>
      <c r="I78" s="11" t="n">
        <v>622.72</v>
      </c>
      <c r="J78" s="11" t="n">
        <v>622.72</v>
      </c>
      <c r="K78" s="11" t="n">
        <v>83.03</v>
      </c>
      <c r="L78" s="11" t="n">
        <v>83.03</v>
      </c>
      <c r="M78" s="11" t="n">
        <v>5.98</v>
      </c>
      <c r="N78" s="11" t="n">
        <v>5.98</v>
      </c>
      <c r="O78" s="13" t="n">
        <v>0.59</v>
      </c>
    </row>
    <row r="79" customFormat="false" ht="15" hidden="false" customHeight="false" outlineLevel="0" collapsed="false">
      <c r="A79" s="4" t="s">
        <v>108</v>
      </c>
      <c r="B79" s="4" t="s">
        <v>18</v>
      </c>
      <c r="C79" s="4" t="s">
        <v>107</v>
      </c>
      <c r="D79" s="5" t="n">
        <v>4</v>
      </c>
      <c r="E79" s="6" t="n">
        <v>18.01</v>
      </c>
      <c r="F79" s="7" t="n">
        <f aca="false">E79*6</f>
        <v>108.06</v>
      </c>
      <c r="G79" s="7" t="n">
        <f aca="false">E79*12</f>
        <v>216.12</v>
      </c>
      <c r="H79" s="6" t="n">
        <v>22.95</v>
      </c>
      <c r="I79" s="6" t="n">
        <v>807.8</v>
      </c>
      <c r="J79" s="6" t="n">
        <v>807.8</v>
      </c>
      <c r="K79" s="6" t="n">
        <v>107.71</v>
      </c>
      <c r="L79" s="6" t="n">
        <v>107.71</v>
      </c>
      <c r="M79" s="6" t="n">
        <v>5.93</v>
      </c>
      <c r="N79" s="6" t="n">
        <v>5.93</v>
      </c>
      <c r="O79" s="8" t="n">
        <v>0.586</v>
      </c>
    </row>
    <row r="80" customFormat="false" ht="15" hidden="false" customHeight="false" outlineLevel="0" collapsed="false">
      <c r="A80" s="9" t="s">
        <v>109</v>
      </c>
      <c r="B80" s="9" t="s">
        <v>18</v>
      </c>
      <c r="C80" s="9" t="s">
        <v>107</v>
      </c>
      <c r="D80" s="10" t="n">
        <v>5</v>
      </c>
      <c r="E80" s="11" t="n">
        <v>22.26</v>
      </c>
      <c r="F80" s="12" t="n">
        <f aca="false">E80*6</f>
        <v>133.56</v>
      </c>
      <c r="G80" s="12" t="n">
        <f aca="false">E80*12</f>
        <v>267.12</v>
      </c>
      <c r="H80" s="11" t="n">
        <v>28.36</v>
      </c>
      <c r="I80" s="11" t="n">
        <v>982.09</v>
      </c>
      <c r="J80" s="11" t="n">
        <v>982.09</v>
      </c>
      <c r="K80" s="11" t="n">
        <v>130.94</v>
      </c>
      <c r="L80" s="11" t="n">
        <v>130.94</v>
      </c>
      <c r="M80" s="11" t="n">
        <v>5.89</v>
      </c>
      <c r="N80" s="11" t="n">
        <v>5.89</v>
      </c>
      <c r="O80" s="13" t="n">
        <v>0.583</v>
      </c>
    </row>
    <row r="81" customFormat="false" ht="15" hidden="false" customHeight="false" outlineLevel="0" collapsed="false">
      <c r="A81" s="4" t="s">
        <v>110</v>
      </c>
      <c r="B81" s="4" t="s">
        <v>18</v>
      </c>
      <c r="C81" s="4" t="s">
        <v>107</v>
      </c>
      <c r="D81" s="5" t="n">
        <v>6</v>
      </c>
      <c r="E81" s="6" t="n">
        <v>26.4</v>
      </c>
      <c r="F81" s="7" t="n">
        <f aca="false">E81*6</f>
        <v>158.4</v>
      </c>
      <c r="G81" s="7" t="n">
        <f aca="false">E81*12</f>
        <v>316.8</v>
      </c>
      <c r="H81" s="6" t="n">
        <v>33.63</v>
      </c>
      <c r="I81" s="6" t="n">
        <v>1145.86</v>
      </c>
      <c r="J81" s="6" t="n">
        <v>1145.86</v>
      </c>
      <c r="K81" s="6" t="n">
        <v>152.78</v>
      </c>
      <c r="L81" s="6" t="n">
        <v>152.78</v>
      </c>
      <c r="M81" s="6" t="n">
        <v>5.84</v>
      </c>
      <c r="N81" s="6" t="n">
        <v>5.84</v>
      </c>
      <c r="O81" s="8" t="n">
        <v>0.579</v>
      </c>
    </row>
    <row r="82" customFormat="false" ht="15" hidden="false" customHeight="false" outlineLevel="0" collapsed="false">
      <c r="A82" s="9" t="s">
        <v>111</v>
      </c>
      <c r="B82" s="9" t="s">
        <v>18</v>
      </c>
      <c r="C82" s="9" t="s">
        <v>107</v>
      </c>
      <c r="D82" s="10" t="n">
        <v>8</v>
      </c>
      <c r="E82" s="11" t="n">
        <v>33.94</v>
      </c>
      <c r="F82" s="12" t="n">
        <f aca="false">E82*6</f>
        <v>203.64</v>
      </c>
      <c r="G82" s="12" t="n">
        <f aca="false">E82*12</f>
        <v>407.28</v>
      </c>
      <c r="H82" s="11" t="n">
        <v>43.24</v>
      </c>
      <c r="I82" s="11" t="n">
        <v>1411.73</v>
      </c>
      <c r="J82" s="11" t="n">
        <v>1411.73</v>
      </c>
      <c r="K82" s="11" t="n">
        <v>188.23</v>
      </c>
      <c r="L82" s="11" t="n">
        <v>188.23</v>
      </c>
      <c r="M82" s="11" t="n">
        <v>5.71</v>
      </c>
      <c r="N82" s="11" t="n">
        <v>5.71</v>
      </c>
      <c r="O82" s="13" t="n">
        <v>0.566</v>
      </c>
    </row>
    <row r="83" customFormat="false" ht="15" hidden="false" customHeight="false" outlineLevel="0" collapsed="false">
      <c r="A83" s="4" t="s">
        <v>112</v>
      </c>
      <c r="B83" s="4" t="s">
        <v>18</v>
      </c>
      <c r="C83" s="4" t="s">
        <v>113</v>
      </c>
      <c r="D83" s="5" t="n">
        <v>4</v>
      </c>
      <c r="E83" s="6" t="n">
        <v>19.27</v>
      </c>
      <c r="F83" s="7" t="n">
        <f aca="false">E83*6</f>
        <v>115.62</v>
      </c>
      <c r="G83" s="7" t="n">
        <f aca="false">E83*12</f>
        <v>231.24</v>
      </c>
      <c r="H83" s="6" t="n">
        <v>24.55</v>
      </c>
      <c r="I83" s="6" t="n">
        <v>987.15</v>
      </c>
      <c r="J83" s="6" t="n">
        <v>987.15</v>
      </c>
      <c r="K83" s="6" t="n">
        <v>123.39</v>
      </c>
      <c r="L83" s="6" t="n">
        <v>123.39</v>
      </c>
      <c r="M83" s="6" t="n">
        <v>6.34</v>
      </c>
      <c r="N83" s="6" t="n">
        <v>6.34</v>
      </c>
      <c r="O83" s="8" t="n">
        <v>0.626</v>
      </c>
    </row>
    <row r="84" customFormat="false" ht="15" hidden="false" customHeight="false" outlineLevel="0" collapsed="false">
      <c r="A84" s="9" t="s">
        <v>114</v>
      </c>
      <c r="B84" s="9" t="s">
        <v>18</v>
      </c>
      <c r="C84" s="9" t="s">
        <v>113</v>
      </c>
      <c r="D84" s="10" t="n">
        <v>5</v>
      </c>
      <c r="E84" s="11" t="n">
        <v>23.83</v>
      </c>
      <c r="F84" s="12" t="n">
        <f aca="false">E84*6</f>
        <v>142.98</v>
      </c>
      <c r="G84" s="12" t="n">
        <f aca="false">E84*12</f>
        <v>285.96</v>
      </c>
      <c r="H84" s="11" t="n">
        <v>30.36</v>
      </c>
      <c r="I84" s="11" t="n">
        <v>1202.32</v>
      </c>
      <c r="J84" s="11" t="n">
        <v>1202.32</v>
      </c>
      <c r="K84" s="11" t="n">
        <v>150.29</v>
      </c>
      <c r="L84" s="11" t="n">
        <v>150.29</v>
      </c>
      <c r="M84" s="11" t="n">
        <v>6.29</v>
      </c>
      <c r="N84" s="11" t="n">
        <v>6.29</v>
      </c>
      <c r="O84" s="13" t="n">
        <v>0.623</v>
      </c>
    </row>
    <row r="85" customFormat="false" ht="15" hidden="false" customHeight="false" outlineLevel="0" collapsed="false">
      <c r="A85" s="4" t="s">
        <v>115</v>
      </c>
      <c r="B85" s="4" t="s">
        <v>18</v>
      </c>
      <c r="C85" s="4" t="s">
        <v>113</v>
      </c>
      <c r="D85" s="5" t="n">
        <v>6</v>
      </c>
      <c r="E85" s="6" t="n">
        <v>28.29</v>
      </c>
      <c r="F85" s="7" t="n">
        <f aca="false">E85*6</f>
        <v>169.74</v>
      </c>
      <c r="G85" s="7" t="n">
        <f aca="false">E85*12</f>
        <v>339.48</v>
      </c>
      <c r="H85" s="6" t="n">
        <v>36.03</v>
      </c>
      <c r="I85" s="6" t="n">
        <v>1405.43</v>
      </c>
      <c r="J85" s="6" t="n">
        <v>1405.43</v>
      </c>
      <c r="K85" s="6" t="n">
        <v>175.68</v>
      </c>
      <c r="L85" s="6" t="n">
        <v>175.68</v>
      </c>
      <c r="M85" s="6" t="n">
        <v>6.25</v>
      </c>
      <c r="N85" s="6" t="n">
        <v>6.25</v>
      </c>
      <c r="O85" s="8" t="n">
        <v>0.619</v>
      </c>
    </row>
    <row r="86" customFormat="false" ht="15" hidden="false" customHeight="false" outlineLevel="0" collapsed="false">
      <c r="A86" s="9" t="s">
        <v>116</v>
      </c>
      <c r="B86" s="9" t="s">
        <v>18</v>
      </c>
      <c r="C86" s="9" t="s">
        <v>113</v>
      </c>
      <c r="D86" s="10" t="n">
        <v>8</v>
      </c>
      <c r="E86" s="11" t="n">
        <v>36.46</v>
      </c>
      <c r="F86" s="12" t="n">
        <f aca="false">E86*6</f>
        <v>218.76</v>
      </c>
      <c r="G86" s="12" t="n">
        <f aca="false">E86*12</f>
        <v>437.52</v>
      </c>
      <c r="H86" s="11" t="n">
        <v>46.44</v>
      </c>
      <c r="I86" s="11" t="n">
        <v>1741.12</v>
      </c>
      <c r="J86" s="11" t="n">
        <v>1741.12</v>
      </c>
      <c r="K86" s="11" t="n">
        <v>217.64</v>
      </c>
      <c r="L86" s="11" t="n">
        <v>217.64</v>
      </c>
      <c r="M86" s="11" t="n">
        <v>6.12</v>
      </c>
      <c r="N86" s="11" t="n">
        <v>6.12</v>
      </c>
      <c r="O86" s="13" t="n">
        <v>0.606</v>
      </c>
    </row>
    <row r="87" customFormat="false" ht="15" hidden="false" customHeight="false" outlineLevel="0" collapsed="false">
      <c r="A87" s="4" t="s">
        <v>117</v>
      </c>
      <c r="B87" s="4" t="s">
        <v>18</v>
      </c>
      <c r="C87" s="4" t="s">
        <v>113</v>
      </c>
      <c r="D87" s="5" t="n">
        <v>10</v>
      </c>
      <c r="E87" s="6" t="n">
        <v>44.4</v>
      </c>
      <c r="F87" s="7" t="n">
        <f aca="false">E87*6</f>
        <v>266.4</v>
      </c>
      <c r="G87" s="7" t="n">
        <f aca="false">E87*12</f>
        <v>532.8</v>
      </c>
      <c r="H87" s="6" t="n">
        <v>56.56</v>
      </c>
      <c r="I87" s="6" t="n">
        <v>2047.49</v>
      </c>
      <c r="J87" s="6" t="n">
        <v>2047.49</v>
      </c>
      <c r="K87" s="6" t="n">
        <v>255.94</v>
      </c>
      <c r="L87" s="6" t="n">
        <v>255.94</v>
      </c>
      <c r="M87" s="6" t="n">
        <v>6.02</v>
      </c>
      <c r="N87" s="6" t="n">
        <v>6.02</v>
      </c>
      <c r="O87" s="8" t="n">
        <v>0.597</v>
      </c>
    </row>
    <row r="88" customFormat="false" ht="15" hidden="false" customHeight="false" outlineLevel="0" collapsed="false">
      <c r="A88" s="9" t="s">
        <v>118</v>
      </c>
      <c r="B88" s="9" t="s">
        <v>18</v>
      </c>
      <c r="C88" s="9" t="s">
        <v>119</v>
      </c>
      <c r="D88" s="10" t="n">
        <v>4</v>
      </c>
      <c r="E88" s="11" t="n">
        <v>21.78</v>
      </c>
      <c r="F88" s="12" t="n">
        <f aca="false">E88*6</f>
        <v>130.68</v>
      </c>
      <c r="G88" s="12" t="n">
        <f aca="false">E88*12</f>
        <v>261.36</v>
      </c>
      <c r="H88" s="11" t="n">
        <v>27.75</v>
      </c>
      <c r="I88" s="11" t="n">
        <v>1421.71</v>
      </c>
      <c r="J88" s="11" t="n">
        <v>1421.71</v>
      </c>
      <c r="K88" s="11" t="n">
        <v>157.97</v>
      </c>
      <c r="L88" s="11" t="n">
        <v>157.97</v>
      </c>
      <c r="M88" s="11" t="n">
        <v>7.16</v>
      </c>
      <c r="N88" s="11" t="n">
        <v>7.16</v>
      </c>
      <c r="O88" s="13" t="n">
        <v>0.706</v>
      </c>
    </row>
    <row r="89" customFormat="false" ht="15" hidden="false" customHeight="false" outlineLevel="0" collapsed="false">
      <c r="A89" s="4" t="s">
        <v>120</v>
      </c>
      <c r="B89" s="4" t="s">
        <v>18</v>
      </c>
      <c r="C89" s="4" t="s">
        <v>119</v>
      </c>
      <c r="D89" s="5" t="n">
        <v>5</v>
      </c>
      <c r="E89" s="6" t="n">
        <v>26.97</v>
      </c>
      <c r="F89" s="7" t="n">
        <f aca="false">E89*6</f>
        <v>161.82</v>
      </c>
      <c r="G89" s="7" t="n">
        <f aca="false">E89*12</f>
        <v>323.64</v>
      </c>
      <c r="H89" s="6" t="n">
        <v>34.36</v>
      </c>
      <c r="I89" s="6" t="n">
        <v>1736.82</v>
      </c>
      <c r="J89" s="6" t="n">
        <v>1736.82</v>
      </c>
      <c r="K89" s="6" t="n">
        <v>192.98</v>
      </c>
      <c r="L89" s="6" t="n">
        <v>192.98</v>
      </c>
      <c r="M89" s="6" t="n">
        <v>7.11</v>
      </c>
      <c r="N89" s="6" t="n">
        <v>7.11</v>
      </c>
      <c r="O89" s="8" t="n">
        <v>0.703</v>
      </c>
    </row>
    <row r="90" customFormat="false" ht="15" hidden="false" customHeight="false" outlineLevel="0" collapsed="false">
      <c r="A90" s="9" t="s">
        <v>121</v>
      </c>
      <c r="B90" s="9" t="s">
        <v>18</v>
      </c>
      <c r="C90" s="9" t="s">
        <v>119</v>
      </c>
      <c r="D90" s="10" t="n">
        <v>6</v>
      </c>
      <c r="E90" s="11" t="n">
        <v>32.05</v>
      </c>
      <c r="F90" s="12" t="n">
        <f aca="false">E90*6</f>
        <v>192.3</v>
      </c>
      <c r="G90" s="12" t="n">
        <f aca="false">E90*12</f>
        <v>384.6</v>
      </c>
      <c r="H90" s="11" t="n">
        <v>40.83</v>
      </c>
      <c r="I90" s="11" t="n">
        <v>2036.46</v>
      </c>
      <c r="J90" s="11" t="n">
        <v>2036.46</v>
      </c>
      <c r="K90" s="11" t="n">
        <v>226.27</v>
      </c>
      <c r="L90" s="11" t="n">
        <v>226.27</v>
      </c>
      <c r="M90" s="11" t="n">
        <v>7.06</v>
      </c>
      <c r="N90" s="11" t="n">
        <v>7.06</v>
      </c>
      <c r="O90" s="13" t="n">
        <v>0.699</v>
      </c>
    </row>
    <row r="91" customFormat="false" ht="15" hidden="false" customHeight="false" outlineLevel="0" collapsed="false">
      <c r="A91" s="4" t="s">
        <v>122</v>
      </c>
      <c r="B91" s="4" t="s">
        <v>18</v>
      </c>
      <c r="C91" s="4" t="s">
        <v>119</v>
      </c>
      <c r="D91" s="5" t="n">
        <v>8</v>
      </c>
      <c r="E91" s="6" t="n">
        <v>41.48</v>
      </c>
      <c r="F91" s="7" t="n">
        <f aca="false">E91*6</f>
        <v>248.88</v>
      </c>
      <c r="G91" s="7" t="n">
        <f aca="false">E91*12</f>
        <v>497.76</v>
      </c>
      <c r="H91" s="6" t="n">
        <v>52.84</v>
      </c>
      <c r="I91" s="6" t="n">
        <v>2545.71</v>
      </c>
      <c r="J91" s="6" t="n">
        <v>2545.71</v>
      </c>
      <c r="K91" s="6" t="n">
        <v>282.86</v>
      </c>
      <c r="L91" s="6" t="n">
        <v>282.86</v>
      </c>
      <c r="M91" s="6" t="n">
        <v>6.94</v>
      </c>
      <c r="N91" s="6" t="n">
        <v>6.94</v>
      </c>
      <c r="O91" s="8" t="n">
        <v>0.686</v>
      </c>
    </row>
    <row r="92" customFormat="false" ht="15" hidden="false" customHeight="false" outlineLevel="0" collapsed="false">
      <c r="A92" s="9" t="s">
        <v>123</v>
      </c>
      <c r="B92" s="9" t="s">
        <v>18</v>
      </c>
      <c r="C92" s="9" t="s">
        <v>119</v>
      </c>
      <c r="D92" s="10" t="n">
        <v>10</v>
      </c>
      <c r="E92" s="11" t="n">
        <v>50.68</v>
      </c>
      <c r="F92" s="12" t="n">
        <f aca="false">E92*6</f>
        <v>304.08</v>
      </c>
      <c r="G92" s="12" t="n">
        <f aca="false">E92*12</f>
        <v>608.16</v>
      </c>
      <c r="H92" s="11" t="n">
        <v>64.56</v>
      </c>
      <c r="I92" s="11" t="n">
        <v>3016.57</v>
      </c>
      <c r="J92" s="11" t="n">
        <v>3016.57</v>
      </c>
      <c r="K92" s="11" t="n">
        <v>335.17</v>
      </c>
      <c r="L92" s="11" t="n">
        <v>335.17</v>
      </c>
      <c r="M92" s="11" t="n">
        <v>6.84</v>
      </c>
      <c r="N92" s="11" t="n">
        <v>6.84</v>
      </c>
      <c r="O92" s="13" t="n">
        <v>0.677</v>
      </c>
    </row>
    <row r="93" customFormat="false" ht="15" hidden="false" customHeight="false" outlineLevel="0" collapsed="false">
      <c r="A93" s="4" t="s">
        <v>124</v>
      </c>
      <c r="B93" s="4" t="s">
        <v>18</v>
      </c>
      <c r="C93" s="4" t="s">
        <v>125</v>
      </c>
      <c r="D93" s="5" t="n">
        <v>4</v>
      </c>
      <c r="E93" s="6" t="n">
        <v>24.29</v>
      </c>
      <c r="F93" s="7" t="n">
        <f aca="false">E93*6</f>
        <v>145.74</v>
      </c>
      <c r="G93" s="7" t="n">
        <f aca="false">E93*12</f>
        <v>291.48</v>
      </c>
      <c r="H93" s="6" t="n">
        <v>30.95</v>
      </c>
      <c r="I93" s="6" t="n">
        <v>1968.09</v>
      </c>
      <c r="J93" s="6" t="n">
        <v>1968.09</v>
      </c>
      <c r="K93" s="6" t="n">
        <v>196.81</v>
      </c>
      <c r="L93" s="6" t="n">
        <v>196.81</v>
      </c>
      <c r="M93" s="6" t="n">
        <v>7.97</v>
      </c>
      <c r="N93" s="6" t="n">
        <v>7.97</v>
      </c>
      <c r="O93" s="8" t="n">
        <v>0.786</v>
      </c>
    </row>
    <row r="94" customFormat="false" ht="15" hidden="false" customHeight="false" outlineLevel="0" collapsed="false">
      <c r="A94" s="9" t="s">
        <v>126</v>
      </c>
      <c r="B94" s="9" t="s">
        <v>18</v>
      </c>
      <c r="C94" s="9" t="s">
        <v>125</v>
      </c>
      <c r="D94" s="10" t="n">
        <v>5</v>
      </c>
      <c r="E94" s="11" t="n">
        <v>30.11</v>
      </c>
      <c r="F94" s="12" t="n">
        <f aca="false">E94*6</f>
        <v>180.66</v>
      </c>
      <c r="G94" s="12" t="n">
        <f aca="false">E94*12</f>
        <v>361.32</v>
      </c>
      <c r="H94" s="11" t="n">
        <v>38.36</v>
      </c>
      <c r="I94" s="11" t="n">
        <v>2410.03</v>
      </c>
      <c r="J94" s="11" t="n">
        <v>2410.03</v>
      </c>
      <c r="K94" s="11" t="n">
        <v>241</v>
      </c>
      <c r="L94" s="11" t="n">
        <v>241</v>
      </c>
      <c r="M94" s="11" t="n">
        <v>7.93</v>
      </c>
      <c r="N94" s="11" t="n">
        <v>7.93</v>
      </c>
      <c r="O94" s="13" t="n">
        <v>0.783</v>
      </c>
    </row>
    <row r="95" customFormat="false" ht="15" hidden="false" customHeight="false" outlineLevel="0" collapsed="false">
      <c r="A95" s="4" t="s">
        <v>127</v>
      </c>
      <c r="B95" s="4" t="s">
        <v>18</v>
      </c>
      <c r="C95" s="4" t="s">
        <v>125</v>
      </c>
      <c r="D95" s="5" t="n">
        <v>6</v>
      </c>
      <c r="E95" s="6" t="n">
        <v>35.82</v>
      </c>
      <c r="F95" s="7" t="n">
        <f aca="false">E95*6</f>
        <v>214.92</v>
      </c>
      <c r="G95" s="7" t="n">
        <f aca="false">E95*12</f>
        <v>429.84</v>
      </c>
      <c r="H95" s="6" t="n">
        <v>45.63</v>
      </c>
      <c r="I95" s="6" t="n">
        <v>2832.67</v>
      </c>
      <c r="J95" s="6" t="n">
        <v>2832.67</v>
      </c>
      <c r="K95" s="6" t="n">
        <v>283.27</v>
      </c>
      <c r="L95" s="6" t="n">
        <v>283.27</v>
      </c>
      <c r="M95" s="6" t="n">
        <v>7.88</v>
      </c>
      <c r="N95" s="6" t="n">
        <v>7.88</v>
      </c>
      <c r="O95" s="8" t="n">
        <v>0.779</v>
      </c>
    </row>
    <row r="96" customFormat="false" ht="15" hidden="false" customHeight="false" outlineLevel="0" collapsed="false">
      <c r="A96" s="9" t="s">
        <v>128</v>
      </c>
      <c r="B96" s="9" t="s">
        <v>18</v>
      </c>
      <c r="C96" s="9" t="s">
        <v>125</v>
      </c>
      <c r="D96" s="10" t="n">
        <v>8</v>
      </c>
      <c r="E96" s="11" t="n">
        <v>46.5</v>
      </c>
      <c r="F96" s="12" t="n">
        <f aca="false">E96*6</f>
        <v>279</v>
      </c>
      <c r="G96" s="12" t="n">
        <f aca="false">E96*12</f>
        <v>558</v>
      </c>
      <c r="H96" s="11" t="n">
        <v>59.24</v>
      </c>
      <c r="I96" s="11" t="n">
        <v>3566.06</v>
      </c>
      <c r="J96" s="11" t="n">
        <v>3566.06</v>
      </c>
      <c r="K96" s="11" t="n">
        <v>356.61</v>
      </c>
      <c r="L96" s="11" t="n">
        <v>356.61</v>
      </c>
      <c r="M96" s="11" t="n">
        <v>7.76</v>
      </c>
      <c r="N96" s="11" t="n">
        <v>7.76</v>
      </c>
      <c r="O96" s="13" t="n">
        <v>0.766</v>
      </c>
    </row>
    <row r="97" customFormat="false" ht="15" hidden="false" customHeight="false" outlineLevel="0" collapsed="false">
      <c r="A97" s="4" t="s">
        <v>129</v>
      </c>
      <c r="B97" s="4" t="s">
        <v>18</v>
      </c>
      <c r="C97" s="4" t="s">
        <v>125</v>
      </c>
      <c r="D97" s="5" t="n">
        <v>10</v>
      </c>
      <c r="E97" s="6" t="n">
        <v>56.96</v>
      </c>
      <c r="F97" s="7" t="n">
        <f aca="false">E97*6</f>
        <v>341.76</v>
      </c>
      <c r="G97" s="7" t="n">
        <f aca="false">E97*12</f>
        <v>683.52</v>
      </c>
      <c r="H97" s="6" t="n">
        <v>72.56</v>
      </c>
      <c r="I97" s="6" t="n">
        <v>4250.77</v>
      </c>
      <c r="J97" s="6" t="n">
        <v>4250.77</v>
      </c>
      <c r="K97" s="6" t="n">
        <v>425.08</v>
      </c>
      <c r="L97" s="6" t="n">
        <v>425.08</v>
      </c>
      <c r="M97" s="6" t="n">
        <v>7.65</v>
      </c>
      <c r="N97" s="6" t="n">
        <v>7.65</v>
      </c>
      <c r="O97" s="8" t="n">
        <v>0.757</v>
      </c>
    </row>
    <row r="98" customFormat="false" ht="15" hidden="false" customHeight="false" outlineLevel="0" collapsed="false">
      <c r="A98" s="9" t="s">
        <v>130</v>
      </c>
      <c r="B98" s="9" t="s">
        <v>18</v>
      </c>
      <c r="C98" s="9" t="s">
        <v>131</v>
      </c>
      <c r="D98" s="10" t="n">
        <v>5</v>
      </c>
      <c r="E98" s="11" t="n">
        <v>33.25</v>
      </c>
      <c r="F98" s="12" t="n">
        <f aca="false">E98*6</f>
        <v>199.5</v>
      </c>
      <c r="G98" s="12" t="n">
        <f aca="false">E98*12</f>
        <v>399</v>
      </c>
      <c r="H98" s="11" t="n">
        <v>42.36</v>
      </c>
      <c r="I98" s="11" t="n">
        <v>3237.95</v>
      </c>
      <c r="J98" s="11" t="n">
        <v>3237.95</v>
      </c>
      <c r="K98" s="11" t="n">
        <v>294.36</v>
      </c>
      <c r="L98" s="11" t="n">
        <v>294.36</v>
      </c>
      <c r="M98" s="11" t="n">
        <v>8.74</v>
      </c>
      <c r="N98" s="11" t="n">
        <v>8.74</v>
      </c>
      <c r="O98" s="13" t="n">
        <v>0.863</v>
      </c>
    </row>
    <row r="99" customFormat="false" ht="15" hidden="false" customHeight="false" outlineLevel="0" collapsed="false">
      <c r="A99" s="4" t="s">
        <v>132</v>
      </c>
      <c r="B99" s="4" t="s">
        <v>18</v>
      </c>
      <c r="C99" s="4" t="s">
        <v>131</v>
      </c>
      <c r="D99" s="5" t="n">
        <v>6</v>
      </c>
      <c r="E99" s="6" t="n">
        <v>39.59</v>
      </c>
      <c r="F99" s="7" t="n">
        <f aca="false">E99*6</f>
        <v>237.54</v>
      </c>
      <c r="G99" s="7" t="n">
        <f aca="false">E99*12</f>
        <v>475.08</v>
      </c>
      <c r="H99" s="6" t="n">
        <v>50.43</v>
      </c>
      <c r="I99" s="6" t="n">
        <v>3813.26</v>
      </c>
      <c r="J99" s="6" t="n">
        <v>3813.26</v>
      </c>
      <c r="K99" s="6" t="n">
        <v>346.66</v>
      </c>
      <c r="L99" s="6" t="n">
        <v>346.66</v>
      </c>
      <c r="M99" s="6" t="n">
        <v>8.7</v>
      </c>
      <c r="N99" s="6" t="n">
        <v>8.7</v>
      </c>
      <c r="O99" s="8" t="n">
        <v>0.859</v>
      </c>
    </row>
    <row r="100" customFormat="false" ht="15" hidden="false" customHeight="false" outlineLevel="0" collapsed="false">
      <c r="A100" s="9" t="s">
        <v>133</v>
      </c>
      <c r="B100" s="9" t="s">
        <v>18</v>
      </c>
      <c r="C100" s="9" t="s">
        <v>131</v>
      </c>
      <c r="D100" s="10" t="n">
        <v>8</v>
      </c>
      <c r="E100" s="11" t="n">
        <v>51.53</v>
      </c>
      <c r="F100" s="12" t="n">
        <f aca="false">E100*6</f>
        <v>309.18</v>
      </c>
      <c r="G100" s="12" t="n">
        <f aca="false">E100*12</f>
        <v>618.36</v>
      </c>
      <c r="H100" s="11" t="n">
        <v>65.64</v>
      </c>
      <c r="I100" s="11" t="n">
        <v>4827.78</v>
      </c>
      <c r="J100" s="11" t="n">
        <v>4827.78</v>
      </c>
      <c r="K100" s="11" t="n">
        <v>438.89</v>
      </c>
      <c r="L100" s="11" t="n">
        <v>438.89</v>
      </c>
      <c r="M100" s="11" t="n">
        <v>8.58</v>
      </c>
      <c r="N100" s="11" t="n">
        <v>8.58</v>
      </c>
      <c r="O100" s="13" t="n">
        <v>0.846</v>
      </c>
    </row>
    <row r="101" customFormat="false" ht="15" hidden="false" customHeight="false" outlineLevel="0" collapsed="false">
      <c r="A101" s="4" t="s">
        <v>134</v>
      </c>
      <c r="B101" s="4" t="s">
        <v>18</v>
      </c>
      <c r="C101" s="4" t="s">
        <v>131</v>
      </c>
      <c r="D101" s="5" t="n">
        <v>10</v>
      </c>
      <c r="E101" s="6" t="n">
        <v>63.24</v>
      </c>
      <c r="F101" s="7" t="n">
        <f aca="false">E101*6</f>
        <v>379.44</v>
      </c>
      <c r="G101" s="7" t="n">
        <f aca="false">E101*12</f>
        <v>758.88</v>
      </c>
      <c r="H101" s="6" t="n">
        <v>80.56</v>
      </c>
      <c r="I101" s="6" t="n">
        <v>5782.1</v>
      </c>
      <c r="J101" s="6" t="n">
        <v>5782.1</v>
      </c>
      <c r="K101" s="6" t="n">
        <v>525.65</v>
      </c>
      <c r="L101" s="6" t="n">
        <v>525.65</v>
      </c>
      <c r="M101" s="6" t="n">
        <v>8.47</v>
      </c>
      <c r="N101" s="6" t="n">
        <v>8.47</v>
      </c>
      <c r="O101" s="8" t="n">
        <v>0.837</v>
      </c>
    </row>
    <row r="102" customFormat="false" ht="15" hidden="false" customHeight="false" outlineLevel="0" collapsed="false">
      <c r="A102" s="9" t="s">
        <v>135</v>
      </c>
      <c r="B102" s="9" t="s">
        <v>18</v>
      </c>
      <c r="C102" s="9" t="s">
        <v>131</v>
      </c>
      <c r="D102" s="10" t="n">
        <v>12.5</v>
      </c>
      <c r="E102" s="11" t="n">
        <v>76.17</v>
      </c>
      <c r="F102" s="12" t="n">
        <f aca="false">E102*6</f>
        <v>457.02</v>
      </c>
      <c r="G102" s="12" t="n">
        <f aca="false">E102*12</f>
        <v>914.04</v>
      </c>
      <c r="H102" s="11" t="n">
        <v>97.04</v>
      </c>
      <c r="I102" s="11" t="n">
        <v>6673.31</v>
      </c>
      <c r="J102" s="11" t="n">
        <v>6673.31</v>
      </c>
      <c r="K102" s="11" t="n">
        <v>606.66</v>
      </c>
      <c r="L102" s="11" t="n">
        <v>606.66</v>
      </c>
      <c r="M102" s="11" t="n">
        <v>8.29</v>
      </c>
      <c r="N102" s="11" t="n">
        <v>8.29</v>
      </c>
      <c r="O102" s="13" t="n">
        <v>0.816</v>
      </c>
    </row>
    <row r="103" customFormat="false" ht="15" hidden="false" customHeight="false" outlineLevel="0" collapsed="false">
      <c r="A103" s="4" t="s">
        <v>136</v>
      </c>
      <c r="B103" s="4" t="s">
        <v>18</v>
      </c>
      <c r="C103" s="4" t="s">
        <v>137</v>
      </c>
      <c r="D103" s="5" t="n">
        <v>5</v>
      </c>
      <c r="E103" s="6" t="n">
        <v>37.96</v>
      </c>
      <c r="F103" s="7" t="n">
        <f aca="false">E103*6</f>
        <v>227.76</v>
      </c>
      <c r="G103" s="7" t="n">
        <f aca="false">E103*12</f>
        <v>455.52</v>
      </c>
      <c r="H103" s="6" t="n">
        <v>48.36</v>
      </c>
      <c r="I103" s="6" t="n">
        <v>4804.92</v>
      </c>
      <c r="J103" s="6" t="n">
        <v>4804.92</v>
      </c>
      <c r="K103" s="6" t="n">
        <v>384.39</v>
      </c>
      <c r="L103" s="6" t="n">
        <v>384.39</v>
      </c>
      <c r="M103" s="6" t="n">
        <v>9.97</v>
      </c>
      <c r="N103" s="6" t="n">
        <v>9.97</v>
      </c>
      <c r="O103" s="8" t="n">
        <v>0.983</v>
      </c>
    </row>
    <row r="104" customFormat="false" ht="15" hidden="false" customHeight="false" outlineLevel="0" collapsed="false">
      <c r="A104" s="9" t="s">
        <v>138</v>
      </c>
      <c r="B104" s="9" t="s">
        <v>18</v>
      </c>
      <c r="C104" s="9" t="s">
        <v>137</v>
      </c>
      <c r="D104" s="10" t="n">
        <v>6</v>
      </c>
      <c r="E104" s="11" t="n">
        <v>45.24</v>
      </c>
      <c r="F104" s="12" t="n">
        <f aca="false">E104*6</f>
        <v>271.44</v>
      </c>
      <c r="G104" s="12" t="n">
        <f aca="false">E104*12</f>
        <v>542.88</v>
      </c>
      <c r="H104" s="11" t="n">
        <v>57.63</v>
      </c>
      <c r="I104" s="11" t="n">
        <v>5671.87</v>
      </c>
      <c r="J104" s="11" t="n">
        <v>5671.87</v>
      </c>
      <c r="K104" s="11" t="n">
        <v>453.75</v>
      </c>
      <c r="L104" s="11" t="n">
        <v>453.75</v>
      </c>
      <c r="M104" s="11" t="n">
        <v>9.92</v>
      </c>
      <c r="N104" s="11" t="n">
        <v>9.92</v>
      </c>
      <c r="O104" s="13" t="n">
        <v>0.979</v>
      </c>
    </row>
    <row r="105" customFormat="false" ht="15" hidden="false" customHeight="false" outlineLevel="0" collapsed="false">
      <c r="A105" s="4" t="s">
        <v>139</v>
      </c>
      <c r="B105" s="4" t="s">
        <v>18</v>
      </c>
      <c r="C105" s="4" t="s">
        <v>137</v>
      </c>
      <c r="D105" s="5" t="n">
        <v>8</v>
      </c>
      <c r="E105" s="6" t="n">
        <v>59.06</v>
      </c>
      <c r="F105" s="7" t="n">
        <f aca="false">E105*6</f>
        <v>354.36</v>
      </c>
      <c r="G105" s="7" t="n">
        <f aca="false">E105*12</f>
        <v>708.72</v>
      </c>
      <c r="H105" s="6" t="n">
        <v>75.24</v>
      </c>
      <c r="I105" s="6" t="n">
        <v>7228.9</v>
      </c>
      <c r="J105" s="6" t="n">
        <v>7228.9</v>
      </c>
      <c r="K105" s="6" t="n">
        <v>578.31</v>
      </c>
      <c r="L105" s="6" t="n">
        <v>578.31</v>
      </c>
      <c r="M105" s="6" t="n">
        <v>9.8</v>
      </c>
      <c r="N105" s="6" t="n">
        <v>9.8</v>
      </c>
      <c r="O105" s="8" t="n">
        <v>0.966</v>
      </c>
    </row>
    <row r="106" customFormat="false" ht="15" hidden="false" customHeight="false" outlineLevel="0" collapsed="false">
      <c r="A106" s="9" t="s">
        <v>140</v>
      </c>
      <c r="B106" s="9" t="s">
        <v>18</v>
      </c>
      <c r="C106" s="9" t="s">
        <v>137</v>
      </c>
      <c r="D106" s="10" t="n">
        <v>10</v>
      </c>
      <c r="E106" s="11" t="n">
        <v>72.66</v>
      </c>
      <c r="F106" s="12" t="n">
        <f aca="false">E106*6</f>
        <v>435.96</v>
      </c>
      <c r="G106" s="12" t="n">
        <f aca="false">E106*12</f>
        <v>871.92</v>
      </c>
      <c r="H106" s="11" t="n">
        <v>92.56</v>
      </c>
      <c r="I106" s="11" t="n">
        <v>8706.21</v>
      </c>
      <c r="J106" s="11" t="n">
        <v>8706.21</v>
      </c>
      <c r="K106" s="11" t="n">
        <v>696.5</v>
      </c>
      <c r="L106" s="11" t="n">
        <v>696.5</v>
      </c>
      <c r="M106" s="11" t="n">
        <v>9.7</v>
      </c>
      <c r="N106" s="11" t="n">
        <v>9.7</v>
      </c>
      <c r="O106" s="13" t="n">
        <v>0.957</v>
      </c>
    </row>
    <row r="107" customFormat="false" ht="15" hidden="false" customHeight="false" outlineLevel="0" collapsed="false">
      <c r="A107" s="4" t="s">
        <v>141</v>
      </c>
      <c r="B107" s="4" t="s">
        <v>18</v>
      </c>
      <c r="C107" s="4" t="s">
        <v>137</v>
      </c>
      <c r="D107" s="5" t="n">
        <v>12.5</v>
      </c>
      <c r="E107" s="6" t="n">
        <v>87.95</v>
      </c>
      <c r="F107" s="7" t="n">
        <f aca="false">E107*6</f>
        <v>527.7</v>
      </c>
      <c r="G107" s="7" t="n">
        <f aca="false">E107*12</f>
        <v>1055.4</v>
      </c>
      <c r="H107" s="6" t="n">
        <v>112.04</v>
      </c>
      <c r="I107" s="6" t="n">
        <v>10160.43</v>
      </c>
      <c r="J107" s="6" t="n">
        <v>10160.43</v>
      </c>
      <c r="K107" s="6" t="n">
        <v>812.83</v>
      </c>
      <c r="L107" s="6" t="n">
        <v>812.83</v>
      </c>
      <c r="M107" s="6" t="n">
        <v>9.52</v>
      </c>
      <c r="N107" s="6" t="n">
        <v>9.52</v>
      </c>
      <c r="O107" s="8" t="n">
        <v>0.936</v>
      </c>
    </row>
    <row r="108" customFormat="false" ht="15" hidden="false" customHeight="false" outlineLevel="0" collapsed="false">
      <c r="A108" s="9" t="s">
        <v>142</v>
      </c>
      <c r="B108" s="9" t="s">
        <v>18</v>
      </c>
      <c r="C108" s="9" t="s">
        <v>143</v>
      </c>
      <c r="D108" s="10" t="n">
        <v>5</v>
      </c>
      <c r="E108" s="11" t="n">
        <v>39.53</v>
      </c>
      <c r="F108" s="12" t="n">
        <f aca="false">E108*6</f>
        <v>237.18</v>
      </c>
      <c r="G108" s="12" t="n">
        <f aca="false">E108*12</f>
        <v>474.36</v>
      </c>
      <c r="H108" s="11" t="n">
        <v>50.36</v>
      </c>
      <c r="I108" s="11" t="n">
        <v>5421.93</v>
      </c>
      <c r="J108" s="11" t="n">
        <v>5421.93</v>
      </c>
      <c r="K108" s="11" t="n">
        <v>417.07</v>
      </c>
      <c r="L108" s="11" t="n">
        <v>417.07</v>
      </c>
      <c r="M108" s="11" t="n">
        <v>10.38</v>
      </c>
      <c r="N108" s="11" t="n">
        <v>10.38</v>
      </c>
      <c r="O108" s="13" t="n">
        <v>1.023</v>
      </c>
    </row>
    <row r="109" customFormat="false" ht="15" hidden="false" customHeight="false" outlineLevel="0" collapsed="false">
      <c r="A109" s="4" t="s">
        <v>144</v>
      </c>
      <c r="B109" s="4" t="s">
        <v>18</v>
      </c>
      <c r="C109" s="4" t="s">
        <v>143</v>
      </c>
      <c r="D109" s="5" t="n">
        <v>6</v>
      </c>
      <c r="E109" s="6" t="n">
        <v>47.13</v>
      </c>
      <c r="F109" s="7" t="n">
        <f aca="false">E109*6</f>
        <v>282.78</v>
      </c>
      <c r="G109" s="7" t="n">
        <f aca="false">E109*12</f>
        <v>565.56</v>
      </c>
      <c r="H109" s="6" t="n">
        <v>60.03</v>
      </c>
      <c r="I109" s="6" t="n">
        <v>6404.4</v>
      </c>
      <c r="J109" s="6" t="n">
        <v>6404.4</v>
      </c>
      <c r="K109" s="6" t="n">
        <v>492.65</v>
      </c>
      <c r="L109" s="6" t="n">
        <v>492.65</v>
      </c>
      <c r="M109" s="6" t="n">
        <v>10.33</v>
      </c>
      <c r="N109" s="6" t="n">
        <v>10.33</v>
      </c>
      <c r="O109" s="8" t="n">
        <v>1.019</v>
      </c>
    </row>
    <row r="110" customFormat="false" ht="15" hidden="false" customHeight="false" outlineLevel="0" collapsed="false">
      <c r="A110" s="9" t="s">
        <v>145</v>
      </c>
      <c r="B110" s="9" t="s">
        <v>18</v>
      </c>
      <c r="C110" s="9" t="s">
        <v>143</v>
      </c>
      <c r="D110" s="10" t="n">
        <v>8</v>
      </c>
      <c r="E110" s="11" t="n">
        <v>61.58</v>
      </c>
      <c r="F110" s="12" t="n">
        <f aca="false">E110*6</f>
        <v>369.48</v>
      </c>
      <c r="G110" s="12" t="n">
        <f aca="false">E110*12</f>
        <v>738.96</v>
      </c>
      <c r="H110" s="11" t="n">
        <v>78.44</v>
      </c>
      <c r="I110" s="11" t="n">
        <v>8177.69</v>
      </c>
      <c r="J110" s="11" t="n">
        <v>8177.69</v>
      </c>
      <c r="K110" s="11" t="n">
        <v>629.05</v>
      </c>
      <c r="L110" s="11" t="n">
        <v>629.05</v>
      </c>
      <c r="M110" s="11" t="n">
        <v>10.21</v>
      </c>
      <c r="N110" s="11" t="n">
        <v>10.21</v>
      </c>
      <c r="O110" s="13" t="n">
        <v>1.006</v>
      </c>
    </row>
    <row r="111" customFormat="false" ht="15" hidden="false" customHeight="false" outlineLevel="0" collapsed="false">
      <c r="A111" s="4" t="s">
        <v>146</v>
      </c>
      <c r="B111" s="4" t="s">
        <v>18</v>
      </c>
      <c r="C111" s="4" t="s">
        <v>143</v>
      </c>
      <c r="D111" s="5" t="n">
        <v>10</v>
      </c>
      <c r="E111" s="6" t="n">
        <v>75.8</v>
      </c>
      <c r="F111" s="7" t="n">
        <f aca="false">E111*6</f>
        <v>454.8</v>
      </c>
      <c r="G111" s="7" t="n">
        <f aca="false">E111*12</f>
        <v>909.6</v>
      </c>
      <c r="H111" s="6" t="n">
        <v>96.56</v>
      </c>
      <c r="I111" s="6" t="n">
        <v>9864.14</v>
      </c>
      <c r="J111" s="6" t="n">
        <v>9864.14</v>
      </c>
      <c r="K111" s="6" t="n">
        <v>758.78</v>
      </c>
      <c r="L111" s="6" t="n">
        <v>758.78</v>
      </c>
      <c r="M111" s="6" t="n">
        <v>10.11</v>
      </c>
      <c r="N111" s="6" t="n">
        <v>10.11</v>
      </c>
      <c r="O111" s="8" t="n">
        <v>0.997</v>
      </c>
    </row>
    <row r="112" customFormat="false" ht="15" hidden="false" customHeight="false" outlineLevel="0" collapsed="false">
      <c r="A112" s="9" t="s">
        <v>147</v>
      </c>
      <c r="B112" s="9" t="s">
        <v>18</v>
      </c>
      <c r="C112" s="9" t="s">
        <v>143</v>
      </c>
      <c r="D112" s="10" t="n">
        <v>12.5</v>
      </c>
      <c r="E112" s="11" t="n">
        <v>91.87</v>
      </c>
      <c r="F112" s="12" t="n">
        <f aca="false">E112*6</f>
        <v>551.22</v>
      </c>
      <c r="G112" s="12" t="n">
        <f aca="false">E112*12</f>
        <v>1102.44</v>
      </c>
      <c r="H112" s="11" t="n">
        <v>117.04</v>
      </c>
      <c r="I112" s="11" t="n">
        <v>11546.93</v>
      </c>
      <c r="J112" s="11" t="n">
        <v>11546.93</v>
      </c>
      <c r="K112" s="11" t="n">
        <v>888.23</v>
      </c>
      <c r="L112" s="11" t="n">
        <v>888.23</v>
      </c>
      <c r="M112" s="11" t="n">
        <v>9.93</v>
      </c>
      <c r="N112" s="11" t="n">
        <v>9.93</v>
      </c>
      <c r="O112" s="13" t="n">
        <v>0.976</v>
      </c>
    </row>
    <row r="113" customFormat="false" ht="15" hidden="false" customHeight="false" outlineLevel="0" collapsed="false">
      <c r="A113" s="4" t="s">
        <v>148</v>
      </c>
      <c r="B113" s="4" t="s">
        <v>18</v>
      </c>
      <c r="C113" s="4" t="s">
        <v>149</v>
      </c>
      <c r="D113" s="5" t="n">
        <v>5</v>
      </c>
      <c r="E113" s="6" t="n">
        <v>45.81</v>
      </c>
      <c r="F113" s="7" t="n">
        <f aca="false">E113*6</f>
        <v>274.86</v>
      </c>
      <c r="G113" s="7" t="n">
        <f aca="false">E113*12</f>
        <v>549.72</v>
      </c>
      <c r="H113" s="6" t="n">
        <v>58.36</v>
      </c>
      <c r="I113" s="6" t="n">
        <v>8416.75</v>
      </c>
      <c r="J113" s="6" t="n">
        <v>8416.75</v>
      </c>
      <c r="K113" s="6" t="n">
        <v>561.12</v>
      </c>
      <c r="L113" s="6" t="n">
        <v>561.12</v>
      </c>
      <c r="M113" s="6" t="n">
        <v>12.01</v>
      </c>
      <c r="N113" s="6" t="n">
        <v>12.01</v>
      </c>
      <c r="O113" s="8" t="n">
        <v>1.183</v>
      </c>
    </row>
    <row r="114" customFormat="false" ht="15" hidden="false" customHeight="false" outlineLevel="0" collapsed="false">
      <c r="A114" s="9" t="s">
        <v>150</v>
      </c>
      <c r="B114" s="9" t="s">
        <v>18</v>
      </c>
      <c r="C114" s="9" t="s">
        <v>149</v>
      </c>
      <c r="D114" s="10" t="n">
        <v>6</v>
      </c>
      <c r="E114" s="11" t="n">
        <v>54.66</v>
      </c>
      <c r="F114" s="12" t="n">
        <f aca="false">E114*6</f>
        <v>327.96</v>
      </c>
      <c r="G114" s="12" t="n">
        <f aca="false">E114*12</f>
        <v>655.92</v>
      </c>
      <c r="H114" s="11" t="n">
        <v>69.63</v>
      </c>
      <c r="I114" s="11" t="n">
        <v>9963.48</v>
      </c>
      <c r="J114" s="11" t="n">
        <v>9963.48</v>
      </c>
      <c r="K114" s="11" t="n">
        <v>664.23</v>
      </c>
      <c r="L114" s="11" t="n">
        <v>664.23</v>
      </c>
      <c r="M114" s="11" t="n">
        <v>11.96</v>
      </c>
      <c r="N114" s="11" t="n">
        <v>11.96</v>
      </c>
      <c r="O114" s="13" t="n">
        <v>1.179</v>
      </c>
    </row>
    <row r="115" customFormat="false" ht="15" hidden="false" customHeight="false" outlineLevel="0" collapsed="false">
      <c r="A115" s="4" t="s">
        <v>151</v>
      </c>
      <c r="B115" s="4" t="s">
        <v>18</v>
      </c>
      <c r="C115" s="4" t="s">
        <v>149</v>
      </c>
      <c r="D115" s="5" t="n">
        <v>8</v>
      </c>
      <c r="E115" s="6" t="n">
        <v>71.62</v>
      </c>
      <c r="F115" s="7" t="n">
        <f aca="false">E115*6</f>
        <v>429.72</v>
      </c>
      <c r="G115" s="7" t="n">
        <f aca="false">E115*12</f>
        <v>859.44</v>
      </c>
      <c r="H115" s="6" t="n">
        <v>91.24</v>
      </c>
      <c r="I115" s="6" t="n">
        <v>12800.25</v>
      </c>
      <c r="J115" s="6" t="n">
        <v>12800.25</v>
      </c>
      <c r="K115" s="6" t="n">
        <v>853.35</v>
      </c>
      <c r="L115" s="6" t="n">
        <v>853.35</v>
      </c>
      <c r="M115" s="6" t="n">
        <v>11.84</v>
      </c>
      <c r="N115" s="6" t="n">
        <v>11.84</v>
      </c>
      <c r="O115" s="8" t="n">
        <v>1.166</v>
      </c>
    </row>
    <row r="116" customFormat="false" ht="15" hidden="false" customHeight="false" outlineLevel="0" collapsed="false">
      <c r="A116" s="9" t="s">
        <v>152</v>
      </c>
      <c r="B116" s="9" t="s">
        <v>18</v>
      </c>
      <c r="C116" s="9" t="s">
        <v>149</v>
      </c>
      <c r="D116" s="10" t="n">
        <v>10</v>
      </c>
      <c r="E116" s="11" t="n">
        <v>88.36</v>
      </c>
      <c r="F116" s="12" t="n">
        <f aca="false">E116*6</f>
        <v>530.16</v>
      </c>
      <c r="G116" s="12" t="n">
        <f aca="false">E116*12</f>
        <v>1060.32</v>
      </c>
      <c r="H116" s="11" t="n">
        <v>112.56</v>
      </c>
      <c r="I116" s="11" t="n">
        <v>15518.69</v>
      </c>
      <c r="J116" s="11" t="n">
        <v>15518.69</v>
      </c>
      <c r="K116" s="11" t="n">
        <v>1034.58</v>
      </c>
      <c r="L116" s="11" t="n">
        <v>1034.58</v>
      </c>
      <c r="M116" s="11" t="n">
        <v>11.74</v>
      </c>
      <c r="N116" s="11" t="n">
        <v>11.74</v>
      </c>
      <c r="O116" s="13" t="n">
        <v>1.157</v>
      </c>
    </row>
    <row r="117" customFormat="false" ht="15" hidden="false" customHeight="false" outlineLevel="0" collapsed="false">
      <c r="A117" s="4" t="s">
        <v>153</v>
      </c>
      <c r="B117" s="4" t="s">
        <v>18</v>
      </c>
      <c r="C117" s="4" t="s">
        <v>149</v>
      </c>
      <c r="D117" s="5" t="n">
        <v>12.5</v>
      </c>
      <c r="E117" s="6" t="n">
        <v>107.57</v>
      </c>
      <c r="F117" s="7" t="n">
        <f aca="false">E117*6</f>
        <v>645.42</v>
      </c>
      <c r="G117" s="7" t="n">
        <f aca="false">E117*12</f>
        <v>1290.84</v>
      </c>
      <c r="H117" s="6" t="n">
        <v>137.04</v>
      </c>
      <c r="I117" s="6" t="n">
        <v>18346.84</v>
      </c>
      <c r="J117" s="6" t="n">
        <v>18346.84</v>
      </c>
      <c r="K117" s="6" t="n">
        <v>1223.12</v>
      </c>
      <c r="L117" s="6" t="n">
        <v>1223.12</v>
      </c>
      <c r="M117" s="6" t="n">
        <v>11.57</v>
      </c>
      <c r="N117" s="6" t="n">
        <v>11.57</v>
      </c>
      <c r="O117" s="8" t="n">
        <v>1.136</v>
      </c>
    </row>
    <row r="118" customFormat="false" ht="15" hidden="false" customHeight="false" outlineLevel="0" collapsed="false">
      <c r="A118" s="9" t="s">
        <v>154</v>
      </c>
      <c r="B118" s="9" t="s">
        <v>18</v>
      </c>
      <c r="C118" s="9" t="s">
        <v>155</v>
      </c>
      <c r="D118" s="10" t="n">
        <v>6</v>
      </c>
      <c r="E118" s="11" t="n">
        <v>64.08</v>
      </c>
      <c r="F118" s="12" t="n">
        <f aca="false">E118*6</f>
        <v>384.48</v>
      </c>
      <c r="G118" s="12" t="n">
        <f aca="false">E118*12</f>
        <v>768.96</v>
      </c>
      <c r="H118" s="11" t="n">
        <v>81.63</v>
      </c>
      <c r="I118" s="11" t="n">
        <v>16007.49</v>
      </c>
      <c r="J118" s="11" t="n">
        <v>16007.49</v>
      </c>
      <c r="K118" s="11" t="n">
        <v>914.71</v>
      </c>
      <c r="L118" s="11" t="n">
        <v>914.71</v>
      </c>
      <c r="M118" s="11" t="n">
        <v>14</v>
      </c>
      <c r="N118" s="11" t="n">
        <v>14</v>
      </c>
      <c r="O118" s="13" t="n">
        <v>1.379</v>
      </c>
    </row>
    <row r="119" customFormat="false" ht="15" hidden="false" customHeight="false" outlineLevel="0" collapsed="false">
      <c r="A119" s="4" t="s">
        <v>156</v>
      </c>
      <c r="B119" s="4" t="s">
        <v>18</v>
      </c>
      <c r="C119" s="4" t="s">
        <v>155</v>
      </c>
      <c r="D119" s="5" t="n">
        <v>8</v>
      </c>
      <c r="E119" s="6" t="n">
        <v>84.18</v>
      </c>
      <c r="F119" s="7" t="n">
        <f aca="false">E119*6</f>
        <v>505.08</v>
      </c>
      <c r="G119" s="7" t="n">
        <f aca="false">E119*12</f>
        <v>1010.16</v>
      </c>
      <c r="H119" s="6" t="n">
        <v>107.24</v>
      </c>
      <c r="I119" s="6" t="n">
        <v>20680.1</v>
      </c>
      <c r="J119" s="6" t="n">
        <v>20680.1</v>
      </c>
      <c r="K119" s="6" t="n">
        <v>1181.72</v>
      </c>
      <c r="L119" s="6" t="n">
        <v>1181.72</v>
      </c>
      <c r="M119" s="6" t="n">
        <v>13.89</v>
      </c>
      <c r="N119" s="6" t="n">
        <v>13.89</v>
      </c>
      <c r="O119" s="8" t="n">
        <v>1.366</v>
      </c>
    </row>
    <row r="120" customFormat="false" ht="15" hidden="false" customHeight="false" outlineLevel="0" collapsed="false">
      <c r="A120" s="9" t="s">
        <v>157</v>
      </c>
      <c r="B120" s="9" t="s">
        <v>18</v>
      </c>
      <c r="C120" s="9" t="s">
        <v>155</v>
      </c>
      <c r="D120" s="10" t="n">
        <v>10</v>
      </c>
      <c r="E120" s="11" t="n">
        <v>104.06</v>
      </c>
      <c r="F120" s="12" t="n">
        <f aca="false">E120*6</f>
        <v>624.36</v>
      </c>
      <c r="G120" s="12" t="n">
        <f aca="false">E120*12</f>
        <v>1248.72</v>
      </c>
      <c r="H120" s="11" t="n">
        <v>132.56</v>
      </c>
      <c r="I120" s="11" t="n">
        <v>25188.21</v>
      </c>
      <c r="J120" s="11" t="n">
        <v>25188.21</v>
      </c>
      <c r="K120" s="11" t="n">
        <v>1439.33</v>
      </c>
      <c r="L120" s="11" t="n">
        <v>1439.33</v>
      </c>
      <c r="M120" s="11" t="n">
        <v>13.78</v>
      </c>
      <c r="N120" s="11" t="n">
        <v>13.78</v>
      </c>
      <c r="O120" s="13" t="n">
        <v>1.357</v>
      </c>
    </row>
    <row r="121" customFormat="false" ht="15" hidden="false" customHeight="false" outlineLevel="0" collapsed="false">
      <c r="A121" s="4" t="s">
        <v>158</v>
      </c>
      <c r="B121" s="4" t="s">
        <v>18</v>
      </c>
      <c r="C121" s="4" t="s">
        <v>155</v>
      </c>
      <c r="D121" s="5" t="n">
        <v>12.5</v>
      </c>
      <c r="E121" s="6" t="n">
        <v>127.2</v>
      </c>
      <c r="F121" s="7" t="n">
        <f aca="false">E121*6</f>
        <v>763.2</v>
      </c>
      <c r="G121" s="7" t="n">
        <f aca="false">E121*12</f>
        <v>1526.4</v>
      </c>
      <c r="H121" s="6" t="n">
        <v>162.04</v>
      </c>
      <c r="I121" s="6" t="n">
        <v>30043.09</v>
      </c>
      <c r="J121" s="6" t="n">
        <v>30043.09</v>
      </c>
      <c r="K121" s="6" t="n">
        <v>1716.75</v>
      </c>
      <c r="L121" s="6" t="n">
        <v>1716.75</v>
      </c>
      <c r="M121" s="6" t="n">
        <v>13.62</v>
      </c>
      <c r="N121" s="6" t="n">
        <v>13.62</v>
      </c>
      <c r="O121" s="8" t="n">
        <v>1.336</v>
      </c>
    </row>
    <row r="122" customFormat="false" ht="15" hidden="false" customHeight="false" outlineLevel="0" collapsed="false">
      <c r="A122" s="9" t="s">
        <v>159</v>
      </c>
      <c r="B122" s="9" t="s">
        <v>18</v>
      </c>
      <c r="C122" s="9" t="s">
        <v>160</v>
      </c>
      <c r="D122" s="10" t="n">
        <v>6</v>
      </c>
      <c r="E122" s="11" t="n">
        <v>73.5</v>
      </c>
      <c r="F122" s="12" t="n">
        <f aca="false">E122*6</f>
        <v>441</v>
      </c>
      <c r="G122" s="12" t="n">
        <f aca="false">E122*12</f>
        <v>882</v>
      </c>
      <c r="H122" s="11" t="n">
        <v>93.63</v>
      </c>
      <c r="I122" s="11" t="n">
        <v>24103.9</v>
      </c>
      <c r="J122" s="11" t="n">
        <v>24103.9</v>
      </c>
      <c r="K122" s="11" t="n">
        <v>1205.19</v>
      </c>
      <c r="L122" s="11" t="n">
        <v>1205.19</v>
      </c>
      <c r="M122" s="11" t="n">
        <v>16.04</v>
      </c>
      <c r="N122" s="11" t="n">
        <v>16.04</v>
      </c>
      <c r="O122" s="13" t="n">
        <v>1.579</v>
      </c>
    </row>
    <row r="123" customFormat="false" ht="15" hidden="false" customHeight="false" outlineLevel="0" collapsed="false">
      <c r="A123" s="4" t="s">
        <v>161</v>
      </c>
      <c r="B123" s="4" t="s">
        <v>18</v>
      </c>
      <c r="C123" s="4" t="s">
        <v>160</v>
      </c>
      <c r="D123" s="5" t="n">
        <v>8</v>
      </c>
      <c r="E123" s="6" t="n">
        <v>96.74</v>
      </c>
      <c r="F123" s="7" t="n">
        <f aca="false">E123*6</f>
        <v>580.44</v>
      </c>
      <c r="G123" s="7" t="n">
        <f aca="false">E123*12</f>
        <v>1160.88</v>
      </c>
      <c r="H123" s="6" t="n">
        <v>123.24</v>
      </c>
      <c r="I123" s="6" t="n">
        <v>31268.45</v>
      </c>
      <c r="J123" s="6" t="n">
        <v>31268.45</v>
      </c>
      <c r="K123" s="6" t="n">
        <v>1563.42</v>
      </c>
      <c r="L123" s="6" t="n">
        <v>1563.42</v>
      </c>
      <c r="M123" s="6" t="n">
        <v>15.93</v>
      </c>
      <c r="N123" s="6" t="n">
        <v>15.93</v>
      </c>
      <c r="O123" s="8" t="n">
        <v>1.566</v>
      </c>
    </row>
    <row r="124" customFormat="false" ht="15" hidden="false" customHeight="false" outlineLevel="0" collapsed="false">
      <c r="A124" s="9" t="s">
        <v>162</v>
      </c>
      <c r="B124" s="9" t="s">
        <v>18</v>
      </c>
      <c r="C124" s="9" t="s">
        <v>160</v>
      </c>
      <c r="D124" s="10" t="n">
        <v>10</v>
      </c>
      <c r="E124" s="11" t="n">
        <v>119.76</v>
      </c>
      <c r="F124" s="12" t="n">
        <f aca="false">E124*6</f>
        <v>718.56</v>
      </c>
      <c r="G124" s="12" t="n">
        <f aca="false">E124*12</f>
        <v>1437.12</v>
      </c>
      <c r="H124" s="11" t="n">
        <v>152.56</v>
      </c>
      <c r="I124" s="11" t="n">
        <v>38214.76</v>
      </c>
      <c r="J124" s="11" t="n">
        <v>38214.76</v>
      </c>
      <c r="K124" s="11" t="n">
        <v>1910.74</v>
      </c>
      <c r="L124" s="11" t="n">
        <v>1910.74</v>
      </c>
      <c r="M124" s="11" t="n">
        <v>15.83</v>
      </c>
      <c r="N124" s="11" t="n">
        <v>15.83</v>
      </c>
      <c r="O124" s="13" t="n">
        <v>1.557</v>
      </c>
    </row>
    <row r="125" customFormat="false" ht="15" hidden="false" customHeight="false" outlineLevel="0" collapsed="false">
      <c r="A125" s="4" t="s">
        <v>163</v>
      </c>
      <c r="B125" s="4" t="s">
        <v>18</v>
      </c>
      <c r="C125" s="4" t="s">
        <v>160</v>
      </c>
      <c r="D125" s="5" t="n">
        <v>12.5</v>
      </c>
      <c r="E125" s="6" t="n">
        <v>146.82</v>
      </c>
      <c r="F125" s="7" t="n">
        <f aca="false">E125*6</f>
        <v>880.92</v>
      </c>
      <c r="G125" s="7" t="n">
        <f aca="false">E125*12</f>
        <v>1761.84</v>
      </c>
      <c r="H125" s="6" t="n">
        <v>187.04</v>
      </c>
      <c r="I125" s="6" t="n">
        <v>45874.19</v>
      </c>
      <c r="J125" s="6" t="n">
        <v>45874.19</v>
      </c>
      <c r="K125" s="6" t="n">
        <v>2293.71</v>
      </c>
      <c r="L125" s="6" t="n">
        <v>2293.71</v>
      </c>
      <c r="M125" s="6" t="n">
        <v>15.66</v>
      </c>
      <c r="N125" s="6" t="n">
        <v>15.66</v>
      </c>
      <c r="O125" s="8" t="n">
        <v>1.536</v>
      </c>
    </row>
    <row r="126" customFormat="false" ht="15" hidden="false" customHeight="false" outlineLevel="0" collapsed="false">
      <c r="A126" s="9" t="s">
        <v>164</v>
      </c>
      <c r="B126" s="9" t="s">
        <v>165</v>
      </c>
      <c r="C126" s="9" t="s">
        <v>166</v>
      </c>
      <c r="D126" s="10" t="n">
        <v>1.2</v>
      </c>
      <c r="E126" s="11" t="n">
        <v>0.49</v>
      </c>
      <c r="F126" s="12" t="n">
        <f aca="false">E126*6</f>
        <v>2.94</v>
      </c>
      <c r="G126" s="12" t="n">
        <f aca="false">E126*12</f>
        <v>5.88</v>
      </c>
      <c r="H126" s="11" t="n">
        <v>0.63</v>
      </c>
      <c r="I126" s="11" t="n">
        <v>0.29</v>
      </c>
      <c r="J126" s="11" t="n">
        <v>0.09</v>
      </c>
      <c r="K126" s="11" t="n">
        <v>0.29</v>
      </c>
      <c r="L126" s="11" t="n">
        <v>0.19</v>
      </c>
      <c r="M126" s="11" t="n">
        <v>0.68</v>
      </c>
      <c r="N126" s="11" t="n">
        <v>0.39</v>
      </c>
      <c r="O126" s="13" t="n">
        <v>0.056</v>
      </c>
    </row>
    <row r="127" customFormat="false" ht="15" hidden="false" customHeight="false" outlineLevel="0" collapsed="false">
      <c r="A127" s="4" t="s">
        <v>167</v>
      </c>
      <c r="B127" s="4" t="s">
        <v>165</v>
      </c>
      <c r="C127" s="4" t="s">
        <v>166</v>
      </c>
      <c r="D127" s="5" t="n">
        <v>1.5</v>
      </c>
      <c r="E127" s="6" t="n">
        <v>0.59</v>
      </c>
      <c r="F127" s="7" t="n">
        <f aca="false">E127*6</f>
        <v>3.54</v>
      </c>
      <c r="G127" s="7" t="n">
        <f aca="false">E127*12</f>
        <v>7.08</v>
      </c>
      <c r="H127" s="6" t="n">
        <v>0.75</v>
      </c>
      <c r="I127" s="6" t="n">
        <v>0.33</v>
      </c>
      <c r="J127" s="6" t="n">
        <v>0.11</v>
      </c>
      <c r="K127" s="6" t="n">
        <v>0.33</v>
      </c>
      <c r="L127" s="6" t="n">
        <v>0.21</v>
      </c>
      <c r="M127" s="6" t="n">
        <v>0.66</v>
      </c>
      <c r="N127" s="6" t="n">
        <v>0.37</v>
      </c>
      <c r="O127" s="8" t="n">
        <v>0.055</v>
      </c>
    </row>
    <row r="128" customFormat="false" ht="15" hidden="false" customHeight="false" outlineLevel="0" collapsed="false">
      <c r="A128" s="9" t="s">
        <v>168</v>
      </c>
      <c r="B128" s="9" t="s">
        <v>165</v>
      </c>
      <c r="C128" s="9" t="s">
        <v>166</v>
      </c>
      <c r="D128" s="10" t="n">
        <v>2</v>
      </c>
      <c r="E128" s="11" t="n">
        <v>0.74</v>
      </c>
      <c r="F128" s="12" t="n">
        <f aca="false">E128*6</f>
        <v>4.44</v>
      </c>
      <c r="G128" s="12" t="n">
        <f aca="false">E128*12</f>
        <v>8.88</v>
      </c>
      <c r="H128" s="11" t="n">
        <v>0.94</v>
      </c>
      <c r="I128" s="11" t="n">
        <v>0.37</v>
      </c>
      <c r="J128" s="11" t="n">
        <v>0.12</v>
      </c>
      <c r="K128" s="11" t="n">
        <v>0.37</v>
      </c>
      <c r="L128" s="11" t="n">
        <v>0.23</v>
      </c>
      <c r="M128" s="11" t="n">
        <v>0.63</v>
      </c>
      <c r="N128" s="11" t="n">
        <v>0.35</v>
      </c>
      <c r="O128" s="13" t="n">
        <v>0.053</v>
      </c>
    </row>
    <row r="129" customFormat="false" ht="15" hidden="false" customHeight="false" outlineLevel="0" collapsed="false">
      <c r="A129" s="4" t="s">
        <v>169</v>
      </c>
      <c r="B129" s="4" t="s">
        <v>165</v>
      </c>
      <c r="C129" s="4" t="s">
        <v>170</v>
      </c>
      <c r="D129" s="5" t="n">
        <v>1.2</v>
      </c>
      <c r="E129" s="6" t="n">
        <v>0.77</v>
      </c>
      <c r="F129" s="7" t="n">
        <f aca="false">E129*6</f>
        <v>4.62</v>
      </c>
      <c r="G129" s="7" t="n">
        <f aca="false">E129*12</f>
        <v>9.24</v>
      </c>
      <c r="H129" s="6" t="n">
        <v>0.99</v>
      </c>
      <c r="I129" s="6" t="n">
        <v>1.09</v>
      </c>
      <c r="J129" s="6" t="n">
        <v>0.36</v>
      </c>
      <c r="K129" s="6" t="n">
        <v>0.72</v>
      </c>
      <c r="L129" s="6" t="n">
        <v>0.49</v>
      </c>
      <c r="M129" s="6" t="n">
        <v>1.05</v>
      </c>
      <c r="N129" s="6" t="n">
        <v>0.61</v>
      </c>
      <c r="O129" s="8" t="n">
        <v>0.086</v>
      </c>
    </row>
    <row r="130" customFormat="false" ht="15" hidden="false" customHeight="false" outlineLevel="0" collapsed="false">
      <c r="A130" s="9" t="s">
        <v>171</v>
      </c>
      <c r="B130" s="9" t="s">
        <v>165</v>
      </c>
      <c r="C130" s="9" t="s">
        <v>170</v>
      </c>
      <c r="D130" s="10" t="n">
        <v>1.5</v>
      </c>
      <c r="E130" s="11" t="n">
        <v>0.94</v>
      </c>
      <c r="F130" s="12" t="n">
        <f aca="false">E130*6</f>
        <v>5.64</v>
      </c>
      <c r="G130" s="12" t="n">
        <f aca="false">E130*12</f>
        <v>11.28</v>
      </c>
      <c r="H130" s="11" t="n">
        <v>1.2</v>
      </c>
      <c r="I130" s="11" t="n">
        <v>1.28</v>
      </c>
      <c r="J130" s="11" t="n">
        <v>0.42</v>
      </c>
      <c r="K130" s="11" t="n">
        <v>0.85</v>
      </c>
      <c r="L130" s="11" t="n">
        <v>0.57</v>
      </c>
      <c r="M130" s="11" t="n">
        <v>1.03</v>
      </c>
      <c r="N130" s="11" t="n">
        <v>0.59</v>
      </c>
      <c r="O130" s="13" t="n">
        <v>0.085</v>
      </c>
    </row>
    <row r="131" customFormat="false" ht="15" hidden="false" customHeight="false" outlineLevel="0" collapsed="false">
      <c r="A131" s="4" t="s">
        <v>172</v>
      </c>
      <c r="B131" s="4" t="s">
        <v>165</v>
      </c>
      <c r="C131" s="4" t="s">
        <v>170</v>
      </c>
      <c r="D131" s="5" t="n">
        <v>2</v>
      </c>
      <c r="E131" s="6" t="n">
        <v>1.21</v>
      </c>
      <c r="F131" s="7" t="n">
        <f aca="false">E131*6</f>
        <v>7.26</v>
      </c>
      <c r="G131" s="7" t="n">
        <f aca="false">E131*12</f>
        <v>14.52</v>
      </c>
      <c r="H131" s="6" t="n">
        <v>1.54</v>
      </c>
      <c r="I131" s="6" t="n">
        <v>1.54</v>
      </c>
      <c r="J131" s="6" t="n">
        <v>0.5</v>
      </c>
      <c r="K131" s="6" t="n">
        <v>1.03</v>
      </c>
      <c r="L131" s="6" t="n">
        <v>0.67</v>
      </c>
      <c r="M131" s="6" t="n">
        <v>1</v>
      </c>
      <c r="N131" s="6" t="n">
        <v>0.57</v>
      </c>
      <c r="O131" s="8" t="n">
        <v>0.083</v>
      </c>
    </row>
    <row r="132" customFormat="false" ht="15" hidden="false" customHeight="false" outlineLevel="0" collapsed="false">
      <c r="A132" s="9" t="s">
        <v>173</v>
      </c>
      <c r="B132" s="9" t="s">
        <v>165</v>
      </c>
      <c r="C132" s="9" t="s">
        <v>170</v>
      </c>
      <c r="D132" s="10" t="n">
        <v>2.5</v>
      </c>
      <c r="E132" s="11" t="n">
        <v>1.44</v>
      </c>
      <c r="F132" s="12" t="n">
        <f aca="false">E132*6</f>
        <v>8.64</v>
      </c>
      <c r="G132" s="12" t="n">
        <f aca="false">E132*12</f>
        <v>17.28</v>
      </c>
      <c r="H132" s="11" t="n">
        <v>1.84</v>
      </c>
      <c r="I132" s="11" t="n">
        <v>1.73</v>
      </c>
      <c r="J132" s="11" t="n">
        <v>0.56</v>
      </c>
      <c r="K132" s="11" t="n">
        <v>1.16</v>
      </c>
      <c r="L132" s="11" t="n">
        <v>0.74</v>
      </c>
      <c r="M132" s="11" t="n">
        <v>0.97</v>
      </c>
      <c r="N132" s="11" t="n">
        <v>0.55</v>
      </c>
      <c r="O132" s="13" t="n">
        <v>0.081</v>
      </c>
    </row>
    <row r="133" customFormat="false" ht="15" hidden="false" customHeight="false" outlineLevel="0" collapsed="false">
      <c r="A133" s="4" t="s">
        <v>174</v>
      </c>
      <c r="B133" s="4" t="s">
        <v>165</v>
      </c>
      <c r="C133" s="4" t="s">
        <v>170</v>
      </c>
      <c r="D133" s="5" t="n">
        <v>3</v>
      </c>
      <c r="E133" s="6" t="n">
        <v>1.65</v>
      </c>
      <c r="F133" s="7" t="n">
        <f aca="false">E133*6</f>
        <v>9.9</v>
      </c>
      <c r="G133" s="7" t="n">
        <f aca="false">E133*12</f>
        <v>19.8</v>
      </c>
      <c r="H133" s="6" t="n">
        <v>2.11</v>
      </c>
      <c r="I133" s="6" t="n">
        <v>1.86</v>
      </c>
      <c r="J133" s="6" t="n">
        <v>0.59</v>
      </c>
      <c r="K133" s="6" t="n">
        <v>1.24</v>
      </c>
      <c r="L133" s="6" t="n">
        <v>0.78</v>
      </c>
      <c r="M133" s="6" t="n">
        <v>0.94</v>
      </c>
      <c r="N133" s="6" t="n">
        <v>0.53</v>
      </c>
      <c r="O133" s="8" t="n">
        <v>0.08</v>
      </c>
    </row>
    <row r="134" customFormat="false" ht="15" hidden="false" customHeight="false" outlineLevel="0" collapsed="false">
      <c r="A134" s="9" t="s">
        <v>175</v>
      </c>
      <c r="B134" s="9" t="s">
        <v>165</v>
      </c>
      <c r="C134" s="9" t="s">
        <v>176</v>
      </c>
      <c r="D134" s="10" t="n">
        <v>1.2</v>
      </c>
      <c r="E134" s="11" t="n">
        <v>0.87</v>
      </c>
      <c r="F134" s="12" t="n">
        <f aca="false">E134*6</f>
        <v>5.22</v>
      </c>
      <c r="G134" s="12" t="n">
        <f aca="false">E134*12</f>
        <v>10.44</v>
      </c>
      <c r="H134" s="11" t="n">
        <v>1.11</v>
      </c>
      <c r="I134" s="11" t="n">
        <v>1.34</v>
      </c>
      <c r="J134" s="11" t="n">
        <v>0.71</v>
      </c>
      <c r="K134" s="11" t="n">
        <v>0.89</v>
      </c>
      <c r="L134" s="11" t="n">
        <v>0.71</v>
      </c>
      <c r="M134" s="11" t="n">
        <v>1.1</v>
      </c>
      <c r="N134" s="11" t="n">
        <v>0.8</v>
      </c>
      <c r="O134" s="13" t="n">
        <v>0.096</v>
      </c>
    </row>
    <row r="135" customFormat="false" ht="15" hidden="false" customHeight="false" outlineLevel="0" collapsed="false">
      <c r="A135" s="4" t="s">
        <v>177</v>
      </c>
      <c r="B135" s="4" t="s">
        <v>165</v>
      </c>
      <c r="C135" s="4" t="s">
        <v>176</v>
      </c>
      <c r="D135" s="5" t="n">
        <v>1.5</v>
      </c>
      <c r="E135" s="6" t="n">
        <v>1.06</v>
      </c>
      <c r="F135" s="7" t="n">
        <f aca="false">E135*6</f>
        <v>6.36</v>
      </c>
      <c r="G135" s="7" t="n">
        <f aca="false">E135*12</f>
        <v>12.72</v>
      </c>
      <c r="H135" s="6" t="n">
        <v>1.35</v>
      </c>
      <c r="I135" s="6" t="n">
        <v>1.59</v>
      </c>
      <c r="J135" s="6" t="n">
        <v>0.84</v>
      </c>
      <c r="K135" s="6" t="n">
        <v>1.06</v>
      </c>
      <c r="L135" s="6" t="n">
        <v>0.84</v>
      </c>
      <c r="M135" s="6" t="n">
        <v>1.08</v>
      </c>
      <c r="N135" s="6" t="n">
        <v>0.79</v>
      </c>
      <c r="O135" s="8" t="n">
        <v>0.095</v>
      </c>
    </row>
    <row r="136" customFormat="false" ht="15" hidden="false" customHeight="false" outlineLevel="0" collapsed="false">
      <c r="A136" s="9" t="s">
        <v>178</v>
      </c>
      <c r="B136" s="9" t="s">
        <v>165</v>
      </c>
      <c r="C136" s="9" t="s">
        <v>176</v>
      </c>
      <c r="D136" s="10" t="n">
        <v>2</v>
      </c>
      <c r="E136" s="11" t="n">
        <v>1.36</v>
      </c>
      <c r="F136" s="12" t="n">
        <f aca="false">E136*6</f>
        <v>8.16</v>
      </c>
      <c r="G136" s="12" t="n">
        <f aca="false">E136*12</f>
        <v>16.32</v>
      </c>
      <c r="H136" s="11" t="n">
        <v>1.74</v>
      </c>
      <c r="I136" s="11" t="n">
        <v>1.94</v>
      </c>
      <c r="J136" s="11" t="n">
        <v>1.02</v>
      </c>
      <c r="K136" s="11" t="n">
        <v>1.29</v>
      </c>
      <c r="L136" s="11" t="n">
        <v>1.02</v>
      </c>
      <c r="M136" s="11" t="n">
        <v>1.06</v>
      </c>
      <c r="N136" s="11" t="n">
        <v>0.77</v>
      </c>
      <c r="O136" s="13" t="n">
        <v>0.093</v>
      </c>
    </row>
    <row r="137" customFormat="false" ht="15" hidden="false" customHeight="false" outlineLevel="0" collapsed="false">
      <c r="A137" s="4" t="s">
        <v>179</v>
      </c>
      <c r="B137" s="4" t="s">
        <v>165</v>
      </c>
      <c r="C137" s="4" t="s">
        <v>176</v>
      </c>
      <c r="D137" s="5" t="n">
        <v>2.5</v>
      </c>
      <c r="E137" s="6" t="n">
        <v>1.64</v>
      </c>
      <c r="F137" s="7" t="n">
        <f aca="false">E137*6</f>
        <v>9.84</v>
      </c>
      <c r="G137" s="7" t="n">
        <f aca="false">E137*12</f>
        <v>19.68</v>
      </c>
      <c r="H137" s="6" t="n">
        <v>2.09</v>
      </c>
      <c r="I137" s="6" t="n">
        <v>2.21</v>
      </c>
      <c r="J137" s="6" t="n">
        <v>1.15</v>
      </c>
      <c r="K137" s="6" t="n">
        <v>1.47</v>
      </c>
      <c r="L137" s="6" t="n">
        <v>1.15</v>
      </c>
      <c r="M137" s="6" t="n">
        <v>1.03</v>
      </c>
      <c r="N137" s="6" t="n">
        <v>0.74</v>
      </c>
      <c r="O137" s="8" t="n">
        <v>0.091</v>
      </c>
    </row>
    <row r="138" customFormat="false" ht="15" hidden="false" customHeight="false" outlineLevel="0" collapsed="false">
      <c r="A138" s="9" t="s">
        <v>180</v>
      </c>
      <c r="B138" s="9" t="s">
        <v>165</v>
      </c>
      <c r="C138" s="9" t="s">
        <v>176</v>
      </c>
      <c r="D138" s="10" t="n">
        <v>3</v>
      </c>
      <c r="E138" s="11" t="n">
        <v>1.89</v>
      </c>
      <c r="F138" s="12" t="n">
        <f aca="false">E138*6</f>
        <v>11.34</v>
      </c>
      <c r="G138" s="12" t="n">
        <f aca="false">E138*12</f>
        <v>22.68</v>
      </c>
      <c r="H138" s="11" t="n">
        <v>2.41</v>
      </c>
      <c r="I138" s="11" t="n">
        <v>2.41</v>
      </c>
      <c r="J138" s="11" t="n">
        <v>1.25</v>
      </c>
      <c r="K138" s="11" t="n">
        <v>1.6</v>
      </c>
      <c r="L138" s="11" t="n">
        <v>1.25</v>
      </c>
      <c r="M138" s="11" t="n">
        <v>1</v>
      </c>
      <c r="N138" s="11" t="n">
        <v>0.72</v>
      </c>
      <c r="O138" s="13" t="n">
        <v>0.09</v>
      </c>
    </row>
    <row r="139" customFormat="false" ht="15" hidden="false" customHeight="false" outlineLevel="0" collapsed="false">
      <c r="A139" s="4" t="s">
        <v>181</v>
      </c>
      <c r="B139" s="4" t="s">
        <v>165</v>
      </c>
      <c r="C139" s="4" t="s">
        <v>182</v>
      </c>
      <c r="D139" s="5" t="n">
        <v>1.5</v>
      </c>
      <c r="E139" s="6" t="n">
        <v>1.06</v>
      </c>
      <c r="F139" s="7" t="n">
        <f aca="false">E139*6</f>
        <v>6.36</v>
      </c>
      <c r="G139" s="7" t="n">
        <f aca="false">E139*12</f>
        <v>12.72</v>
      </c>
      <c r="H139" s="6" t="n">
        <v>1.35</v>
      </c>
      <c r="I139" s="6" t="n">
        <v>2.15</v>
      </c>
      <c r="J139" s="6" t="n">
        <v>0.21</v>
      </c>
      <c r="K139" s="6" t="n">
        <v>1.08</v>
      </c>
      <c r="L139" s="6" t="n">
        <v>0.43</v>
      </c>
      <c r="M139" s="6" t="n">
        <v>1.26</v>
      </c>
      <c r="N139" s="6" t="n">
        <v>0.4</v>
      </c>
      <c r="O139" s="8" t="n">
        <v>0.095</v>
      </c>
    </row>
    <row r="140" customFormat="false" ht="15" hidden="false" customHeight="false" outlineLevel="0" collapsed="false">
      <c r="A140" s="9" t="s">
        <v>183</v>
      </c>
      <c r="B140" s="9" t="s">
        <v>165</v>
      </c>
      <c r="C140" s="9" t="s">
        <v>182</v>
      </c>
      <c r="D140" s="10" t="n">
        <v>2</v>
      </c>
      <c r="E140" s="11" t="n">
        <v>1.36</v>
      </c>
      <c r="F140" s="12" t="n">
        <f aca="false">E140*6</f>
        <v>8.16</v>
      </c>
      <c r="G140" s="12" t="n">
        <f aca="false">E140*12</f>
        <v>16.32</v>
      </c>
      <c r="H140" s="11" t="n">
        <v>1.74</v>
      </c>
      <c r="I140" s="11" t="n">
        <v>2.6</v>
      </c>
      <c r="J140" s="11" t="n">
        <v>0.25</v>
      </c>
      <c r="K140" s="11" t="n">
        <v>1.3</v>
      </c>
      <c r="L140" s="11" t="n">
        <v>0.49</v>
      </c>
      <c r="M140" s="11" t="n">
        <v>1.22</v>
      </c>
      <c r="N140" s="11" t="n">
        <v>0.38</v>
      </c>
      <c r="O140" s="13" t="n">
        <v>0.093</v>
      </c>
    </row>
    <row r="141" customFormat="false" ht="15" hidden="false" customHeight="false" outlineLevel="0" collapsed="false">
      <c r="A141" s="4" t="s">
        <v>184</v>
      </c>
      <c r="B141" s="4" t="s">
        <v>165</v>
      </c>
      <c r="C141" s="4" t="s">
        <v>182</v>
      </c>
      <c r="D141" s="5" t="n">
        <v>2.5</v>
      </c>
      <c r="E141" s="6" t="n">
        <v>1.64</v>
      </c>
      <c r="F141" s="7" t="n">
        <f aca="false">E141*6</f>
        <v>9.84</v>
      </c>
      <c r="G141" s="7" t="n">
        <f aca="false">E141*12</f>
        <v>19.68</v>
      </c>
      <c r="H141" s="6" t="n">
        <v>2.09</v>
      </c>
      <c r="I141" s="6" t="n">
        <v>2.93</v>
      </c>
      <c r="J141" s="6" t="n">
        <v>0.26</v>
      </c>
      <c r="K141" s="6" t="n">
        <v>1.47</v>
      </c>
      <c r="L141" s="6" t="n">
        <v>0.53</v>
      </c>
      <c r="M141" s="6" t="n">
        <v>1.19</v>
      </c>
      <c r="N141" s="6" t="n">
        <v>0.36</v>
      </c>
      <c r="O141" s="8" t="n">
        <v>0.091</v>
      </c>
    </row>
    <row r="142" customFormat="false" ht="15" hidden="false" customHeight="false" outlineLevel="0" collapsed="false">
      <c r="A142" s="9" t="s">
        <v>185</v>
      </c>
      <c r="B142" s="9" t="s">
        <v>165</v>
      </c>
      <c r="C142" s="9" t="s">
        <v>186</v>
      </c>
      <c r="D142" s="10" t="n">
        <v>1.5</v>
      </c>
      <c r="E142" s="11" t="n">
        <v>1.18</v>
      </c>
      <c r="F142" s="12" t="n">
        <f aca="false">E142*6</f>
        <v>7.08</v>
      </c>
      <c r="G142" s="12" t="n">
        <f aca="false">E142*12</f>
        <v>14.16</v>
      </c>
      <c r="H142" s="11" t="n">
        <v>1.5</v>
      </c>
      <c r="I142" s="11" t="n">
        <v>2.71</v>
      </c>
      <c r="J142" s="11" t="n">
        <v>0.56</v>
      </c>
      <c r="K142" s="11" t="n">
        <v>1.35</v>
      </c>
      <c r="L142" s="11" t="n">
        <v>0.75</v>
      </c>
      <c r="M142" s="11" t="n">
        <v>1.34</v>
      </c>
      <c r="N142" s="11" t="n">
        <v>0.61</v>
      </c>
      <c r="O142" s="13" t="n">
        <v>0.105</v>
      </c>
    </row>
    <row r="143" customFormat="false" ht="15" hidden="false" customHeight="false" outlineLevel="0" collapsed="false">
      <c r="A143" s="4" t="s">
        <v>187</v>
      </c>
      <c r="B143" s="4" t="s">
        <v>165</v>
      </c>
      <c r="C143" s="4" t="s">
        <v>186</v>
      </c>
      <c r="D143" s="5" t="n">
        <v>2</v>
      </c>
      <c r="E143" s="6" t="n">
        <v>1.52</v>
      </c>
      <c r="F143" s="7" t="n">
        <f aca="false">E143*6</f>
        <v>9.12</v>
      </c>
      <c r="G143" s="7" t="n">
        <f aca="false">E143*12</f>
        <v>18.24</v>
      </c>
      <c r="H143" s="6" t="n">
        <v>1.94</v>
      </c>
      <c r="I143" s="6" t="n">
        <v>3.33</v>
      </c>
      <c r="J143" s="6" t="n">
        <v>0.67</v>
      </c>
      <c r="K143" s="6" t="n">
        <v>1.66</v>
      </c>
      <c r="L143" s="6" t="n">
        <v>0.9</v>
      </c>
      <c r="M143" s="6" t="n">
        <v>1.31</v>
      </c>
      <c r="N143" s="6" t="n">
        <v>0.59</v>
      </c>
      <c r="O143" s="8" t="n">
        <v>0.103</v>
      </c>
    </row>
    <row r="144" customFormat="false" ht="15" hidden="false" customHeight="false" outlineLevel="0" collapsed="false">
      <c r="A144" s="9" t="s">
        <v>188</v>
      </c>
      <c r="B144" s="9" t="s">
        <v>165</v>
      </c>
      <c r="C144" s="9" t="s">
        <v>186</v>
      </c>
      <c r="D144" s="10" t="n">
        <v>2.5</v>
      </c>
      <c r="E144" s="11" t="n">
        <v>1.84</v>
      </c>
      <c r="F144" s="12" t="n">
        <f aca="false">E144*6</f>
        <v>11.04</v>
      </c>
      <c r="G144" s="12" t="n">
        <f aca="false">E144*12</f>
        <v>22.08</v>
      </c>
      <c r="H144" s="11" t="n">
        <v>2.34</v>
      </c>
      <c r="I144" s="11" t="n">
        <v>3.81</v>
      </c>
      <c r="J144" s="11" t="n">
        <v>0.75</v>
      </c>
      <c r="K144" s="11" t="n">
        <v>1.91</v>
      </c>
      <c r="L144" s="11" t="n">
        <v>1.01</v>
      </c>
      <c r="M144" s="11" t="n">
        <v>1.28</v>
      </c>
      <c r="N144" s="11" t="n">
        <v>0.57</v>
      </c>
      <c r="O144" s="13" t="n">
        <v>0.101</v>
      </c>
    </row>
    <row r="145" customFormat="false" ht="15" hidden="false" customHeight="false" outlineLevel="0" collapsed="false">
      <c r="A145" s="4" t="s">
        <v>189</v>
      </c>
      <c r="B145" s="4" t="s">
        <v>165</v>
      </c>
      <c r="C145" s="4" t="s">
        <v>186</v>
      </c>
      <c r="D145" s="5" t="n">
        <v>3</v>
      </c>
      <c r="E145" s="6" t="n">
        <v>2.13</v>
      </c>
      <c r="F145" s="7" t="n">
        <f aca="false">E145*6</f>
        <v>12.78</v>
      </c>
      <c r="G145" s="7" t="n">
        <f aca="false">E145*12</f>
        <v>25.56</v>
      </c>
      <c r="H145" s="6" t="n">
        <v>2.71</v>
      </c>
      <c r="I145" s="6" t="n">
        <v>4.18</v>
      </c>
      <c r="J145" s="6" t="n">
        <v>0.81</v>
      </c>
      <c r="K145" s="6" t="n">
        <v>2.09</v>
      </c>
      <c r="L145" s="6" t="n">
        <v>1.08</v>
      </c>
      <c r="M145" s="6" t="n">
        <v>1.24</v>
      </c>
      <c r="N145" s="6" t="n">
        <v>0.55</v>
      </c>
      <c r="O145" s="8" t="n">
        <v>0.1</v>
      </c>
    </row>
    <row r="146" customFormat="false" ht="15" hidden="false" customHeight="false" outlineLevel="0" collapsed="false">
      <c r="A146" s="9" t="s">
        <v>190</v>
      </c>
      <c r="B146" s="9" t="s">
        <v>165</v>
      </c>
      <c r="C146" s="9" t="s">
        <v>191</v>
      </c>
      <c r="D146" s="10" t="n">
        <v>1.5</v>
      </c>
      <c r="E146" s="11" t="n">
        <v>1.3</v>
      </c>
      <c r="F146" s="12" t="n">
        <f aca="false">E146*6</f>
        <v>7.8</v>
      </c>
      <c r="G146" s="12" t="n">
        <f aca="false">E146*12</f>
        <v>15.6</v>
      </c>
      <c r="H146" s="11" t="n">
        <v>1.65</v>
      </c>
      <c r="I146" s="11" t="n">
        <v>3.27</v>
      </c>
      <c r="J146" s="11" t="n">
        <v>1.1</v>
      </c>
      <c r="K146" s="11" t="n">
        <v>1.63</v>
      </c>
      <c r="L146" s="11" t="n">
        <v>1.1</v>
      </c>
      <c r="M146" s="11" t="n">
        <v>1.41</v>
      </c>
      <c r="N146" s="11" t="n">
        <v>0.81</v>
      </c>
      <c r="O146" s="13" t="n">
        <v>0.115</v>
      </c>
    </row>
    <row r="147" customFormat="false" ht="15" hidden="false" customHeight="false" outlineLevel="0" collapsed="false">
      <c r="A147" s="4" t="s">
        <v>192</v>
      </c>
      <c r="B147" s="4" t="s">
        <v>165</v>
      </c>
      <c r="C147" s="4" t="s">
        <v>191</v>
      </c>
      <c r="D147" s="5" t="n">
        <v>2</v>
      </c>
      <c r="E147" s="6" t="n">
        <v>1.68</v>
      </c>
      <c r="F147" s="7" t="n">
        <f aca="false">E147*6</f>
        <v>10.08</v>
      </c>
      <c r="G147" s="7" t="n">
        <f aca="false">E147*12</f>
        <v>20.16</v>
      </c>
      <c r="H147" s="6" t="n">
        <v>2.14</v>
      </c>
      <c r="I147" s="6" t="n">
        <v>4.05</v>
      </c>
      <c r="J147" s="6" t="n">
        <v>1.34</v>
      </c>
      <c r="K147" s="6" t="n">
        <v>2.02</v>
      </c>
      <c r="L147" s="6" t="n">
        <v>1.34</v>
      </c>
      <c r="M147" s="6" t="n">
        <v>1.38</v>
      </c>
      <c r="N147" s="6" t="n">
        <v>0.79</v>
      </c>
      <c r="O147" s="8" t="n">
        <v>0.113</v>
      </c>
    </row>
    <row r="148" customFormat="false" ht="15" hidden="false" customHeight="false" outlineLevel="0" collapsed="false">
      <c r="A148" s="9" t="s">
        <v>193</v>
      </c>
      <c r="B148" s="9" t="s">
        <v>165</v>
      </c>
      <c r="C148" s="9" t="s">
        <v>191</v>
      </c>
      <c r="D148" s="10" t="n">
        <v>2.5</v>
      </c>
      <c r="E148" s="11" t="n">
        <v>2.03</v>
      </c>
      <c r="F148" s="12" t="n">
        <f aca="false">E148*6</f>
        <v>12.18</v>
      </c>
      <c r="G148" s="12" t="n">
        <f aca="false">E148*12</f>
        <v>24.36</v>
      </c>
      <c r="H148" s="11" t="n">
        <v>2.59</v>
      </c>
      <c r="I148" s="11" t="n">
        <v>4.69</v>
      </c>
      <c r="J148" s="11" t="n">
        <v>1.54</v>
      </c>
      <c r="K148" s="11" t="n">
        <v>2.35</v>
      </c>
      <c r="L148" s="11" t="n">
        <v>1.54</v>
      </c>
      <c r="M148" s="11" t="n">
        <v>1.35</v>
      </c>
      <c r="N148" s="11" t="n">
        <v>0.77</v>
      </c>
      <c r="O148" s="13" t="n">
        <v>0.111</v>
      </c>
    </row>
    <row r="149" customFormat="false" ht="15" hidden="false" customHeight="false" outlineLevel="0" collapsed="false">
      <c r="A149" s="4" t="s">
        <v>194</v>
      </c>
      <c r="B149" s="4" t="s">
        <v>165</v>
      </c>
      <c r="C149" s="4" t="s">
        <v>191</v>
      </c>
      <c r="D149" s="5" t="n">
        <v>3</v>
      </c>
      <c r="E149" s="6" t="n">
        <v>2.36</v>
      </c>
      <c r="F149" s="7" t="n">
        <f aca="false">E149*6</f>
        <v>14.16</v>
      </c>
      <c r="G149" s="7" t="n">
        <f aca="false">E149*12</f>
        <v>28.32</v>
      </c>
      <c r="H149" s="6" t="n">
        <v>3.01</v>
      </c>
      <c r="I149" s="6" t="n">
        <v>5.21</v>
      </c>
      <c r="J149" s="6" t="n">
        <v>1.68</v>
      </c>
      <c r="K149" s="6" t="n">
        <v>2.6</v>
      </c>
      <c r="L149" s="6" t="n">
        <v>1.68</v>
      </c>
      <c r="M149" s="6" t="n">
        <v>1.32</v>
      </c>
      <c r="N149" s="6" t="n">
        <v>0.75</v>
      </c>
      <c r="O149" s="8" t="n">
        <v>0.11</v>
      </c>
    </row>
    <row r="150" customFormat="false" ht="15" hidden="false" customHeight="false" outlineLevel="0" collapsed="false">
      <c r="A150" s="9" t="s">
        <v>195</v>
      </c>
      <c r="B150" s="9" t="s">
        <v>165</v>
      </c>
      <c r="C150" s="9" t="s">
        <v>191</v>
      </c>
      <c r="D150" s="10" t="n">
        <v>4</v>
      </c>
      <c r="E150" s="11" t="n">
        <v>2.94</v>
      </c>
      <c r="F150" s="12" t="n">
        <f aca="false">E150*6</f>
        <v>17.64</v>
      </c>
      <c r="G150" s="12" t="n">
        <f aca="false">E150*12</f>
        <v>35.28</v>
      </c>
      <c r="H150" s="11" t="n">
        <v>3.75</v>
      </c>
      <c r="I150" s="11" t="n">
        <v>5.87</v>
      </c>
      <c r="J150" s="11" t="n">
        <v>1.86</v>
      </c>
      <c r="K150" s="11" t="n">
        <v>2.93</v>
      </c>
      <c r="L150" s="11" t="n">
        <v>1.86</v>
      </c>
      <c r="M150" s="11" t="n">
        <v>1.25</v>
      </c>
      <c r="N150" s="11" t="n">
        <v>0.7</v>
      </c>
      <c r="O150" s="13" t="n">
        <v>0.106</v>
      </c>
    </row>
    <row r="151" customFormat="false" ht="15" hidden="false" customHeight="false" outlineLevel="0" collapsed="false">
      <c r="A151" s="4" t="s">
        <v>196</v>
      </c>
      <c r="B151" s="4" t="s">
        <v>165</v>
      </c>
      <c r="C151" s="4" t="s">
        <v>197</v>
      </c>
      <c r="D151" s="5" t="n">
        <v>1.5</v>
      </c>
      <c r="E151" s="6" t="n">
        <v>1.53</v>
      </c>
      <c r="F151" s="7" t="n">
        <f aca="false">E151*6</f>
        <v>9.18</v>
      </c>
      <c r="G151" s="7" t="n">
        <f aca="false">E151*12</f>
        <v>18.36</v>
      </c>
      <c r="H151" s="6" t="n">
        <v>1.95</v>
      </c>
      <c r="I151" s="6" t="n">
        <v>4.38</v>
      </c>
      <c r="J151" s="6" t="n">
        <v>2.81</v>
      </c>
      <c r="K151" s="6" t="n">
        <v>2.19</v>
      </c>
      <c r="L151" s="6" t="n">
        <v>1.87</v>
      </c>
      <c r="M151" s="6" t="n">
        <v>1.5</v>
      </c>
      <c r="N151" s="6" t="n">
        <v>1.2</v>
      </c>
      <c r="O151" s="8" t="n">
        <v>0.135</v>
      </c>
    </row>
    <row r="152" customFormat="false" ht="15" hidden="false" customHeight="false" outlineLevel="0" collapsed="false">
      <c r="A152" s="9" t="s">
        <v>198</v>
      </c>
      <c r="B152" s="9" t="s">
        <v>165</v>
      </c>
      <c r="C152" s="9" t="s">
        <v>197</v>
      </c>
      <c r="D152" s="10" t="n">
        <v>2</v>
      </c>
      <c r="E152" s="11" t="n">
        <v>1.99</v>
      </c>
      <c r="F152" s="12" t="n">
        <f aca="false">E152*6</f>
        <v>11.94</v>
      </c>
      <c r="G152" s="12" t="n">
        <f aca="false">E152*12</f>
        <v>23.88</v>
      </c>
      <c r="H152" s="11" t="n">
        <v>2.54</v>
      </c>
      <c r="I152" s="11" t="n">
        <v>5.49</v>
      </c>
      <c r="J152" s="11" t="n">
        <v>3.51</v>
      </c>
      <c r="K152" s="11" t="n">
        <v>2.75</v>
      </c>
      <c r="L152" s="11" t="n">
        <v>2.34</v>
      </c>
      <c r="M152" s="11" t="n">
        <v>1.47</v>
      </c>
      <c r="N152" s="11" t="n">
        <v>1.18</v>
      </c>
      <c r="O152" s="13" t="n">
        <v>0.133</v>
      </c>
    </row>
    <row r="153" customFormat="false" ht="15" hidden="false" customHeight="false" outlineLevel="0" collapsed="false">
      <c r="A153" s="4" t="s">
        <v>199</v>
      </c>
      <c r="B153" s="4" t="s">
        <v>165</v>
      </c>
      <c r="C153" s="4" t="s">
        <v>197</v>
      </c>
      <c r="D153" s="5" t="n">
        <v>2.5</v>
      </c>
      <c r="E153" s="6" t="n">
        <v>2.42</v>
      </c>
      <c r="F153" s="7" t="n">
        <f aca="false">E153*6</f>
        <v>14.52</v>
      </c>
      <c r="G153" s="7" t="n">
        <f aca="false">E153*12</f>
        <v>29.04</v>
      </c>
      <c r="H153" s="6" t="n">
        <v>3.09</v>
      </c>
      <c r="I153" s="6" t="n">
        <v>6.45</v>
      </c>
      <c r="J153" s="6" t="n">
        <v>4.1</v>
      </c>
      <c r="K153" s="6" t="n">
        <v>3.23</v>
      </c>
      <c r="L153" s="6" t="n">
        <v>2.74</v>
      </c>
      <c r="M153" s="6" t="n">
        <v>1.45</v>
      </c>
      <c r="N153" s="6" t="n">
        <v>1.15</v>
      </c>
      <c r="O153" s="8" t="n">
        <v>0.131</v>
      </c>
    </row>
    <row r="154" customFormat="false" ht="15" hidden="false" customHeight="false" outlineLevel="0" collapsed="false">
      <c r="A154" s="9" t="s">
        <v>200</v>
      </c>
      <c r="B154" s="9" t="s">
        <v>165</v>
      </c>
      <c r="C154" s="9" t="s">
        <v>197</v>
      </c>
      <c r="D154" s="10" t="n">
        <v>3</v>
      </c>
      <c r="E154" s="11" t="n">
        <v>2.83</v>
      </c>
      <c r="F154" s="12" t="n">
        <f aca="false">E154*6</f>
        <v>16.98</v>
      </c>
      <c r="G154" s="12" t="n">
        <f aca="false">E154*12</f>
        <v>33.96</v>
      </c>
      <c r="H154" s="11" t="n">
        <v>3.61</v>
      </c>
      <c r="I154" s="11" t="n">
        <v>7.26</v>
      </c>
      <c r="J154" s="11" t="n">
        <v>4.6</v>
      </c>
      <c r="K154" s="11" t="n">
        <v>3.63</v>
      </c>
      <c r="L154" s="11" t="n">
        <v>3.07</v>
      </c>
      <c r="M154" s="11" t="n">
        <v>1.42</v>
      </c>
      <c r="N154" s="11" t="n">
        <v>1.13</v>
      </c>
      <c r="O154" s="13" t="n">
        <v>0.13</v>
      </c>
    </row>
    <row r="155" customFormat="false" ht="15" hidden="false" customHeight="false" outlineLevel="0" collapsed="false">
      <c r="A155" s="4" t="s">
        <v>201</v>
      </c>
      <c r="B155" s="4" t="s">
        <v>165</v>
      </c>
      <c r="C155" s="4" t="s">
        <v>197</v>
      </c>
      <c r="D155" s="5" t="n">
        <v>4</v>
      </c>
      <c r="E155" s="6" t="n">
        <v>3.57</v>
      </c>
      <c r="F155" s="7" t="n">
        <f aca="false">E155*6</f>
        <v>21.42</v>
      </c>
      <c r="G155" s="7" t="n">
        <f aca="false">E155*12</f>
        <v>42.84</v>
      </c>
      <c r="H155" s="6" t="n">
        <v>4.55</v>
      </c>
      <c r="I155" s="6" t="n">
        <v>8.47</v>
      </c>
      <c r="J155" s="6" t="n">
        <v>5.33</v>
      </c>
      <c r="K155" s="6" t="n">
        <v>4.24</v>
      </c>
      <c r="L155" s="6" t="n">
        <v>3.55</v>
      </c>
      <c r="M155" s="6" t="n">
        <v>1.36</v>
      </c>
      <c r="N155" s="6" t="n">
        <v>1.08</v>
      </c>
      <c r="O155" s="8" t="n">
        <v>0.126</v>
      </c>
    </row>
    <row r="156" customFormat="false" ht="15" hidden="false" customHeight="false" outlineLevel="0" collapsed="false">
      <c r="A156" s="9" t="s">
        <v>202</v>
      </c>
      <c r="B156" s="9" t="s">
        <v>165</v>
      </c>
      <c r="C156" s="9" t="s">
        <v>203</v>
      </c>
      <c r="D156" s="10" t="n">
        <v>1.5</v>
      </c>
      <c r="E156" s="11" t="n">
        <v>1.53</v>
      </c>
      <c r="F156" s="12" t="n">
        <f aca="false">E156*6</f>
        <v>9.18</v>
      </c>
      <c r="G156" s="12" t="n">
        <f aca="false">E156*12</f>
        <v>18.36</v>
      </c>
      <c r="H156" s="11" t="n">
        <v>1.95</v>
      </c>
      <c r="I156" s="11" t="n">
        <v>5.77</v>
      </c>
      <c r="J156" s="11" t="n">
        <v>1.35</v>
      </c>
      <c r="K156" s="11" t="n">
        <v>2.31</v>
      </c>
      <c r="L156" s="11" t="n">
        <v>1.35</v>
      </c>
      <c r="M156" s="11" t="n">
        <v>1.72</v>
      </c>
      <c r="N156" s="11" t="n">
        <v>0.83</v>
      </c>
      <c r="O156" s="13" t="n">
        <v>0.135</v>
      </c>
    </row>
    <row r="157" customFormat="false" ht="15" hidden="false" customHeight="false" outlineLevel="0" collapsed="false">
      <c r="A157" s="4" t="s">
        <v>204</v>
      </c>
      <c r="B157" s="4" t="s">
        <v>165</v>
      </c>
      <c r="C157" s="4" t="s">
        <v>203</v>
      </c>
      <c r="D157" s="5" t="n">
        <v>2</v>
      </c>
      <c r="E157" s="6" t="n">
        <v>1.99</v>
      </c>
      <c r="F157" s="7" t="n">
        <f aca="false">E157*6</f>
        <v>11.94</v>
      </c>
      <c r="G157" s="7" t="n">
        <f aca="false">E157*12</f>
        <v>23.88</v>
      </c>
      <c r="H157" s="6" t="n">
        <v>2.54</v>
      </c>
      <c r="I157" s="6" t="n">
        <v>7.23</v>
      </c>
      <c r="J157" s="6" t="n">
        <v>1.67</v>
      </c>
      <c r="K157" s="6" t="n">
        <v>2.89</v>
      </c>
      <c r="L157" s="6" t="n">
        <v>1.67</v>
      </c>
      <c r="M157" s="6" t="n">
        <v>1.69</v>
      </c>
      <c r="N157" s="6" t="n">
        <v>0.81</v>
      </c>
      <c r="O157" s="8" t="n">
        <v>0.133</v>
      </c>
    </row>
    <row r="158" customFormat="false" ht="15" hidden="false" customHeight="false" outlineLevel="0" collapsed="false">
      <c r="A158" s="9" t="s">
        <v>205</v>
      </c>
      <c r="B158" s="9" t="s">
        <v>165</v>
      </c>
      <c r="C158" s="9" t="s">
        <v>203</v>
      </c>
      <c r="D158" s="10" t="n">
        <v>2.5</v>
      </c>
      <c r="E158" s="11" t="n">
        <v>2.42</v>
      </c>
      <c r="F158" s="12" t="n">
        <f aca="false">E158*6</f>
        <v>14.52</v>
      </c>
      <c r="G158" s="12" t="n">
        <f aca="false">E158*12</f>
        <v>29.04</v>
      </c>
      <c r="H158" s="11" t="n">
        <v>3.09</v>
      </c>
      <c r="I158" s="11" t="n">
        <v>8.47</v>
      </c>
      <c r="J158" s="11" t="n">
        <v>1.92</v>
      </c>
      <c r="K158" s="11" t="n">
        <v>3.39</v>
      </c>
      <c r="L158" s="11" t="n">
        <v>1.92</v>
      </c>
      <c r="M158" s="11" t="n">
        <v>1.66</v>
      </c>
      <c r="N158" s="11" t="n">
        <v>0.79</v>
      </c>
      <c r="O158" s="13" t="n">
        <v>0.131</v>
      </c>
    </row>
    <row r="159" customFormat="false" ht="15" hidden="false" customHeight="false" outlineLevel="0" collapsed="false">
      <c r="A159" s="4" t="s">
        <v>206</v>
      </c>
      <c r="B159" s="4" t="s">
        <v>165</v>
      </c>
      <c r="C159" s="4" t="s">
        <v>203</v>
      </c>
      <c r="D159" s="5" t="n">
        <v>3</v>
      </c>
      <c r="E159" s="6" t="n">
        <v>2.83</v>
      </c>
      <c r="F159" s="7" t="n">
        <f aca="false">E159*6</f>
        <v>16.98</v>
      </c>
      <c r="G159" s="7" t="n">
        <f aca="false">E159*12</f>
        <v>33.96</v>
      </c>
      <c r="H159" s="6" t="n">
        <v>3.61</v>
      </c>
      <c r="I159" s="6" t="n">
        <v>9.51</v>
      </c>
      <c r="J159" s="6" t="n">
        <v>2.12</v>
      </c>
      <c r="K159" s="6" t="n">
        <v>3.8</v>
      </c>
      <c r="L159" s="6" t="n">
        <v>2.12</v>
      </c>
      <c r="M159" s="6" t="n">
        <v>1.62</v>
      </c>
      <c r="N159" s="6" t="n">
        <v>0.77</v>
      </c>
      <c r="O159" s="8" t="n">
        <v>0.13</v>
      </c>
    </row>
    <row r="160" customFormat="false" ht="15" hidden="false" customHeight="false" outlineLevel="0" collapsed="false">
      <c r="A160" s="9" t="s">
        <v>207</v>
      </c>
      <c r="B160" s="9" t="s">
        <v>165</v>
      </c>
      <c r="C160" s="9" t="s">
        <v>203</v>
      </c>
      <c r="D160" s="10" t="n">
        <v>4</v>
      </c>
      <c r="E160" s="11" t="n">
        <v>3.57</v>
      </c>
      <c r="F160" s="12" t="n">
        <f aca="false">E160*6</f>
        <v>21.42</v>
      </c>
      <c r="G160" s="12" t="n">
        <f aca="false">E160*12</f>
        <v>42.84</v>
      </c>
      <c r="H160" s="11" t="n">
        <v>4.55</v>
      </c>
      <c r="I160" s="11" t="n">
        <v>11.01</v>
      </c>
      <c r="J160" s="11" t="n">
        <v>2.38</v>
      </c>
      <c r="K160" s="11" t="n">
        <v>4.4</v>
      </c>
      <c r="L160" s="11" t="n">
        <v>2.38</v>
      </c>
      <c r="M160" s="11" t="n">
        <v>1.56</v>
      </c>
      <c r="N160" s="11" t="n">
        <v>0.72</v>
      </c>
      <c r="O160" s="13" t="n">
        <v>0.126</v>
      </c>
    </row>
    <row r="161" customFormat="false" ht="15" hidden="false" customHeight="false" outlineLevel="0" collapsed="false">
      <c r="A161" s="4" t="s">
        <v>208</v>
      </c>
      <c r="B161" s="4" t="s">
        <v>165</v>
      </c>
      <c r="C161" s="4" t="s">
        <v>209</v>
      </c>
      <c r="D161" s="5" t="n">
        <v>1.5</v>
      </c>
      <c r="E161" s="6" t="n">
        <v>1.65</v>
      </c>
      <c r="F161" s="7" t="n">
        <f aca="false">E161*6</f>
        <v>9.9</v>
      </c>
      <c r="G161" s="7" t="n">
        <f aca="false">E161*12</f>
        <v>19.8</v>
      </c>
      <c r="H161" s="6" t="n">
        <v>2.1</v>
      </c>
      <c r="I161" s="6" t="n">
        <v>6.65</v>
      </c>
      <c r="J161" s="6" t="n">
        <v>2.25</v>
      </c>
      <c r="K161" s="6" t="n">
        <v>2.66</v>
      </c>
      <c r="L161" s="6" t="n">
        <v>1.8</v>
      </c>
      <c r="M161" s="6" t="n">
        <v>1.78</v>
      </c>
      <c r="N161" s="6" t="n">
        <v>1.04</v>
      </c>
      <c r="O161" s="8" t="n">
        <v>0.145</v>
      </c>
    </row>
    <row r="162" customFormat="false" ht="15" hidden="false" customHeight="false" outlineLevel="0" collapsed="false">
      <c r="A162" s="9" t="s">
        <v>210</v>
      </c>
      <c r="B162" s="9" t="s">
        <v>165</v>
      </c>
      <c r="C162" s="9" t="s">
        <v>209</v>
      </c>
      <c r="D162" s="10" t="n">
        <v>2</v>
      </c>
      <c r="E162" s="11" t="n">
        <v>2.15</v>
      </c>
      <c r="F162" s="12" t="n">
        <f aca="false">E162*6</f>
        <v>12.9</v>
      </c>
      <c r="G162" s="12" t="n">
        <f aca="false">E162*12</f>
        <v>25.8</v>
      </c>
      <c r="H162" s="11" t="n">
        <v>2.74</v>
      </c>
      <c r="I162" s="11" t="n">
        <v>8.38</v>
      </c>
      <c r="J162" s="11" t="n">
        <v>2.81</v>
      </c>
      <c r="K162" s="11" t="n">
        <v>3.35</v>
      </c>
      <c r="L162" s="11" t="n">
        <v>2.25</v>
      </c>
      <c r="M162" s="11" t="n">
        <v>1.75</v>
      </c>
      <c r="N162" s="11" t="n">
        <v>1.01</v>
      </c>
      <c r="O162" s="13" t="n">
        <v>0.143</v>
      </c>
    </row>
    <row r="163" customFormat="false" ht="15" hidden="false" customHeight="false" outlineLevel="0" collapsed="false">
      <c r="A163" s="4" t="s">
        <v>211</v>
      </c>
      <c r="B163" s="4" t="s">
        <v>165</v>
      </c>
      <c r="C163" s="4" t="s">
        <v>209</v>
      </c>
      <c r="D163" s="5" t="n">
        <v>2.5</v>
      </c>
      <c r="E163" s="6" t="n">
        <v>2.62</v>
      </c>
      <c r="F163" s="7" t="n">
        <f aca="false">E163*6</f>
        <v>15.72</v>
      </c>
      <c r="G163" s="7" t="n">
        <f aca="false">E163*12</f>
        <v>31.44</v>
      </c>
      <c r="H163" s="6" t="n">
        <v>3.34</v>
      </c>
      <c r="I163" s="6" t="n">
        <v>9.89</v>
      </c>
      <c r="J163" s="6" t="n">
        <v>3.28</v>
      </c>
      <c r="K163" s="6" t="n">
        <v>3.95</v>
      </c>
      <c r="L163" s="6" t="n">
        <v>2.62</v>
      </c>
      <c r="M163" s="6" t="n">
        <v>1.72</v>
      </c>
      <c r="N163" s="6" t="n">
        <v>0.99</v>
      </c>
      <c r="O163" s="8" t="n">
        <v>0.141</v>
      </c>
    </row>
    <row r="164" customFormat="false" ht="15" hidden="false" customHeight="false" outlineLevel="0" collapsed="false">
      <c r="A164" s="9" t="s">
        <v>212</v>
      </c>
      <c r="B164" s="9" t="s">
        <v>165</v>
      </c>
      <c r="C164" s="9" t="s">
        <v>209</v>
      </c>
      <c r="D164" s="10" t="n">
        <v>3</v>
      </c>
      <c r="E164" s="11" t="n">
        <v>3.07</v>
      </c>
      <c r="F164" s="12" t="n">
        <f aca="false">E164*6</f>
        <v>18.42</v>
      </c>
      <c r="G164" s="12" t="n">
        <f aca="false">E164*12</f>
        <v>36.84</v>
      </c>
      <c r="H164" s="11" t="n">
        <v>3.91</v>
      </c>
      <c r="I164" s="11" t="n">
        <v>11.17</v>
      </c>
      <c r="J164" s="11" t="n">
        <v>3.67</v>
      </c>
      <c r="K164" s="11" t="n">
        <v>4.47</v>
      </c>
      <c r="L164" s="11" t="n">
        <v>2.93</v>
      </c>
      <c r="M164" s="11" t="n">
        <v>1.69</v>
      </c>
      <c r="N164" s="11" t="n">
        <v>0.97</v>
      </c>
      <c r="O164" s="13" t="n">
        <v>0.14</v>
      </c>
    </row>
    <row r="165" customFormat="false" ht="15" hidden="false" customHeight="false" outlineLevel="0" collapsed="false">
      <c r="A165" s="4" t="s">
        <v>213</v>
      </c>
      <c r="B165" s="4" t="s">
        <v>165</v>
      </c>
      <c r="C165" s="4" t="s">
        <v>209</v>
      </c>
      <c r="D165" s="5" t="n">
        <v>4</v>
      </c>
      <c r="E165" s="6" t="n">
        <v>3.88</v>
      </c>
      <c r="F165" s="7" t="n">
        <f aca="false">E165*6</f>
        <v>23.28</v>
      </c>
      <c r="G165" s="7" t="n">
        <f aca="false">E165*12</f>
        <v>46.56</v>
      </c>
      <c r="H165" s="6" t="n">
        <v>4.95</v>
      </c>
      <c r="I165" s="6" t="n">
        <v>13.13</v>
      </c>
      <c r="J165" s="6" t="n">
        <v>4.23</v>
      </c>
      <c r="K165" s="6" t="n">
        <v>5.25</v>
      </c>
      <c r="L165" s="6" t="n">
        <v>3.38</v>
      </c>
      <c r="M165" s="6" t="n">
        <v>1.63</v>
      </c>
      <c r="N165" s="6" t="n">
        <v>0.92</v>
      </c>
      <c r="O165" s="8" t="n">
        <v>0.136</v>
      </c>
    </row>
    <row r="166" customFormat="false" ht="15" hidden="false" customHeight="false" outlineLevel="0" collapsed="false">
      <c r="A166" s="9" t="s">
        <v>214</v>
      </c>
      <c r="B166" s="9" t="s">
        <v>165</v>
      </c>
      <c r="C166" s="9" t="s">
        <v>215</v>
      </c>
      <c r="D166" s="10" t="n">
        <v>1.5</v>
      </c>
      <c r="E166" s="11" t="n">
        <v>1.77</v>
      </c>
      <c r="F166" s="12" t="n">
        <f aca="false">E166*6</f>
        <v>10.62</v>
      </c>
      <c r="G166" s="12" t="n">
        <f aca="false">E166*12</f>
        <v>21.24</v>
      </c>
      <c r="H166" s="11" t="n">
        <v>2.25</v>
      </c>
      <c r="I166" s="11" t="n">
        <v>7.54</v>
      </c>
      <c r="J166" s="11" t="n">
        <v>3.42</v>
      </c>
      <c r="K166" s="11" t="n">
        <v>3.01</v>
      </c>
      <c r="L166" s="11" t="n">
        <v>2.28</v>
      </c>
      <c r="M166" s="11" t="n">
        <v>1.83</v>
      </c>
      <c r="N166" s="11" t="n">
        <v>1.23</v>
      </c>
      <c r="O166" s="13" t="n">
        <v>0.155</v>
      </c>
    </row>
    <row r="167" customFormat="false" ht="15" hidden="false" customHeight="false" outlineLevel="0" collapsed="false">
      <c r="A167" s="4" t="s">
        <v>216</v>
      </c>
      <c r="B167" s="4" t="s">
        <v>165</v>
      </c>
      <c r="C167" s="4" t="s">
        <v>215</v>
      </c>
      <c r="D167" s="5" t="n">
        <v>2</v>
      </c>
      <c r="E167" s="6" t="n">
        <v>2.31</v>
      </c>
      <c r="F167" s="7" t="n">
        <f aca="false">E167*6</f>
        <v>13.86</v>
      </c>
      <c r="G167" s="7" t="n">
        <f aca="false">E167*12</f>
        <v>27.72</v>
      </c>
      <c r="H167" s="6" t="n">
        <v>2.94</v>
      </c>
      <c r="I167" s="6" t="n">
        <v>9.54</v>
      </c>
      <c r="J167" s="6" t="n">
        <v>4.29</v>
      </c>
      <c r="K167" s="6" t="n">
        <v>3.81</v>
      </c>
      <c r="L167" s="6" t="n">
        <v>2.86</v>
      </c>
      <c r="M167" s="6" t="n">
        <v>1.8</v>
      </c>
      <c r="N167" s="6" t="n">
        <v>1.21</v>
      </c>
      <c r="O167" s="8" t="n">
        <v>0.153</v>
      </c>
    </row>
    <row r="168" customFormat="false" ht="15" hidden="false" customHeight="false" outlineLevel="0" collapsed="false">
      <c r="A168" s="9" t="s">
        <v>217</v>
      </c>
      <c r="B168" s="9" t="s">
        <v>165</v>
      </c>
      <c r="C168" s="9" t="s">
        <v>215</v>
      </c>
      <c r="D168" s="10" t="n">
        <v>2.5</v>
      </c>
      <c r="E168" s="11" t="n">
        <v>2.82</v>
      </c>
      <c r="F168" s="12" t="n">
        <f aca="false">E168*6</f>
        <v>16.92</v>
      </c>
      <c r="G168" s="12" t="n">
        <f aca="false">E168*12</f>
        <v>33.84</v>
      </c>
      <c r="H168" s="11" t="n">
        <v>3.59</v>
      </c>
      <c r="I168" s="11" t="n">
        <v>11.3</v>
      </c>
      <c r="J168" s="11" t="n">
        <v>5.05</v>
      </c>
      <c r="K168" s="11" t="n">
        <v>4.52</v>
      </c>
      <c r="L168" s="11" t="n">
        <v>3.37</v>
      </c>
      <c r="M168" s="11" t="n">
        <v>1.77</v>
      </c>
      <c r="N168" s="11" t="n">
        <v>1.19</v>
      </c>
      <c r="O168" s="13" t="n">
        <v>0.151</v>
      </c>
    </row>
    <row r="169" customFormat="false" ht="15" hidden="false" customHeight="false" outlineLevel="0" collapsed="false">
      <c r="A169" s="4" t="s">
        <v>218</v>
      </c>
      <c r="B169" s="4" t="s">
        <v>165</v>
      </c>
      <c r="C169" s="4" t="s">
        <v>215</v>
      </c>
      <c r="D169" s="5" t="n">
        <v>3</v>
      </c>
      <c r="E169" s="6" t="n">
        <v>3.3</v>
      </c>
      <c r="F169" s="7" t="n">
        <f aca="false">E169*6</f>
        <v>19.8</v>
      </c>
      <c r="G169" s="7" t="n">
        <f aca="false">E169*12</f>
        <v>39.6</v>
      </c>
      <c r="H169" s="6" t="n">
        <v>4.21</v>
      </c>
      <c r="I169" s="6" t="n">
        <v>12.83</v>
      </c>
      <c r="J169" s="6" t="n">
        <v>5.7</v>
      </c>
      <c r="K169" s="6" t="n">
        <v>5.13</v>
      </c>
      <c r="L169" s="6" t="n">
        <v>3.8</v>
      </c>
      <c r="M169" s="6" t="n">
        <v>1.75</v>
      </c>
      <c r="N169" s="6" t="n">
        <v>1.16</v>
      </c>
      <c r="O169" s="8" t="n">
        <v>0.15</v>
      </c>
    </row>
    <row r="170" customFormat="false" ht="15" hidden="false" customHeight="false" outlineLevel="0" collapsed="false">
      <c r="A170" s="9" t="s">
        <v>219</v>
      </c>
      <c r="B170" s="9" t="s">
        <v>165</v>
      </c>
      <c r="C170" s="9" t="s">
        <v>215</v>
      </c>
      <c r="D170" s="10" t="n">
        <v>4</v>
      </c>
      <c r="E170" s="11" t="n">
        <v>4.2</v>
      </c>
      <c r="F170" s="12" t="n">
        <f aca="false">E170*6</f>
        <v>25.2</v>
      </c>
      <c r="G170" s="12" t="n">
        <f aca="false">E170*12</f>
        <v>50.4</v>
      </c>
      <c r="H170" s="11" t="n">
        <v>5.35</v>
      </c>
      <c r="I170" s="11" t="n">
        <v>15.25</v>
      </c>
      <c r="J170" s="11" t="n">
        <v>6.69</v>
      </c>
      <c r="K170" s="11" t="n">
        <v>6.1</v>
      </c>
      <c r="L170" s="11" t="n">
        <v>4.46</v>
      </c>
      <c r="M170" s="11" t="n">
        <v>1.69</v>
      </c>
      <c r="N170" s="11" t="n">
        <v>1.12</v>
      </c>
      <c r="O170" s="13" t="n">
        <v>0.146</v>
      </c>
    </row>
    <row r="171" customFormat="false" ht="15" hidden="false" customHeight="false" outlineLevel="0" collapsed="false">
      <c r="A171" s="4" t="s">
        <v>220</v>
      </c>
      <c r="B171" s="4" t="s">
        <v>165</v>
      </c>
      <c r="C171" s="4" t="s">
        <v>221</v>
      </c>
      <c r="D171" s="5" t="n">
        <v>2</v>
      </c>
      <c r="E171" s="6" t="n">
        <v>2.31</v>
      </c>
      <c r="F171" s="7" t="n">
        <f aca="false">E171*6</f>
        <v>13.86</v>
      </c>
      <c r="G171" s="7" t="n">
        <f aca="false">E171*12</f>
        <v>27.72</v>
      </c>
      <c r="H171" s="6" t="n">
        <v>2.94</v>
      </c>
      <c r="I171" s="6" t="n">
        <v>11.68</v>
      </c>
      <c r="J171" s="6" t="n">
        <v>1.99</v>
      </c>
      <c r="K171" s="6" t="n">
        <v>3.89</v>
      </c>
      <c r="L171" s="6" t="n">
        <v>1.99</v>
      </c>
      <c r="M171" s="6" t="n">
        <v>1.99</v>
      </c>
      <c r="N171" s="6" t="n">
        <v>0.82</v>
      </c>
      <c r="O171" s="8" t="n">
        <v>0.153</v>
      </c>
    </row>
    <row r="172" customFormat="false" ht="15" hidden="false" customHeight="false" outlineLevel="0" collapsed="false">
      <c r="A172" s="9" t="s">
        <v>222</v>
      </c>
      <c r="B172" s="9" t="s">
        <v>165</v>
      </c>
      <c r="C172" s="9" t="s">
        <v>221</v>
      </c>
      <c r="D172" s="10" t="n">
        <v>2.5</v>
      </c>
      <c r="E172" s="11" t="n">
        <v>2.82</v>
      </c>
      <c r="F172" s="12" t="n">
        <f aca="false">E172*6</f>
        <v>16.92</v>
      </c>
      <c r="G172" s="12" t="n">
        <f aca="false">E172*12</f>
        <v>33.84</v>
      </c>
      <c r="H172" s="11" t="n">
        <v>3.59</v>
      </c>
      <c r="I172" s="11" t="n">
        <v>13.8</v>
      </c>
      <c r="J172" s="11" t="n">
        <v>2.31</v>
      </c>
      <c r="K172" s="11" t="n">
        <v>4.6</v>
      </c>
      <c r="L172" s="11" t="n">
        <v>2.31</v>
      </c>
      <c r="M172" s="11" t="n">
        <v>1.96</v>
      </c>
      <c r="N172" s="11" t="n">
        <v>0.8</v>
      </c>
      <c r="O172" s="13" t="n">
        <v>0.151</v>
      </c>
    </row>
    <row r="173" customFormat="false" ht="15" hidden="false" customHeight="false" outlineLevel="0" collapsed="false">
      <c r="A173" s="4" t="s">
        <v>223</v>
      </c>
      <c r="B173" s="4" t="s">
        <v>165</v>
      </c>
      <c r="C173" s="4" t="s">
        <v>221</v>
      </c>
      <c r="D173" s="5" t="n">
        <v>3</v>
      </c>
      <c r="E173" s="6" t="n">
        <v>3.3</v>
      </c>
      <c r="F173" s="7" t="n">
        <f aca="false">E173*6</f>
        <v>19.8</v>
      </c>
      <c r="G173" s="7" t="n">
        <f aca="false">E173*12</f>
        <v>39.6</v>
      </c>
      <c r="H173" s="6" t="n">
        <v>4.21</v>
      </c>
      <c r="I173" s="6" t="n">
        <v>15.62</v>
      </c>
      <c r="J173" s="6" t="n">
        <v>2.56</v>
      </c>
      <c r="K173" s="6" t="n">
        <v>5.21</v>
      </c>
      <c r="L173" s="6" t="n">
        <v>2.56</v>
      </c>
      <c r="M173" s="6" t="n">
        <v>1.93</v>
      </c>
      <c r="N173" s="6" t="n">
        <v>0.78</v>
      </c>
      <c r="O173" s="8" t="n">
        <v>0.15</v>
      </c>
    </row>
    <row r="174" customFormat="false" ht="15" hidden="false" customHeight="false" outlineLevel="0" collapsed="false">
      <c r="A174" s="9" t="s">
        <v>224</v>
      </c>
      <c r="B174" s="9" t="s">
        <v>165</v>
      </c>
      <c r="C174" s="9" t="s">
        <v>221</v>
      </c>
      <c r="D174" s="10" t="n">
        <v>4</v>
      </c>
      <c r="E174" s="11" t="n">
        <v>4.2</v>
      </c>
      <c r="F174" s="12" t="n">
        <f aca="false">E174*6</f>
        <v>25.2</v>
      </c>
      <c r="G174" s="12" t="n">
        <f aca="false">E174*12</f>
        <v>50.4</v>
      </c>
      <c r="H174" s="11" t="n">
        <v>5.35</v>
      </c>
      <c r="I174" s="11" t="n">
        <v>18.42</v>
      </c>
      <c r="J174" s="11" t="n">
        <v>2.9</v>
      </c>
      <c r="K174" s="11" t="n">
        <v>6.14</v>
      </c>
      <c r="L174" s="11" t="n">
        <v>2.9</v>
      </c>
      <c r="M174" s="11" t="n">
        <v>1.86</v>
      </c>
      <c r="N174" s="11" t="n">
        <v>0.74</v>
      </c>
      <c r="O174" s="13" t="n">
        <v>0.146</v>
      </c>
    </row>
    <row r="175" customFormat="false" ht="15" hidden="false" customHeight="false" outlineLevel="0" collapsed="false">
      <c r="A175" s="4" t="s">
        <v>225</v>
      </c>
      <c r="B175" s="4" t="s">
        <v>165</v>
      </c>
      <c r="C175" s="4" t="s">
        <v>221</v>
      </c>
      <c r="D175" s="5" t="n">
        <v>5</v>
      </c>
      <c r="E175" s="6" t="n">
        <v>4.99</v>
      </c>
      <c r="F175" s="7" t="n">
        <f aca="false">E175*6</f>
        <v>29.94</v>
      </c>
      <c r="G175" s="7" t="n">
        <f aca="false">E175*12</f>
        <v>59.88</v>
      </c>
      <c r="H175" s="6" t="n">
        <v>6.36</v>
      </c>
      <c r="I175" s="6" t="n">
        <v>20.16</v>
      </c>
      <c r="J175" s="6" t="n">
        <v>3.07</v>
      </c>
      <c r="K175" s="6" t="n">
        <v>6.72</v>
      </c>
      <c r="L175" s="6" t="n">
        <v>3.07</v>
      </c>
      <c r="M175" s="6" t="n">
        <v>1.78</v>
      </c>
      <c r="N175" s="6" t="n">
        <v>0.69</v>
      </c>
      <c r="O175" s="8" t="n">
        <v>0.143</v>
      </c>
    </row>
    <row r="176" customFormat="false" ht="15" hidden="false" customHeight="false" outlineLevel="0" collapsed="false">
      <c r="A176" s="9" t="s">
        <v>226</v>
      </c>
      <c r="B176" s="9" t="s">
        <v>165</v>
      </c>
      <c r="C176" s="9" t="s">
        <v>227</v>
      </c>
      <c r="D176" s="10" t="n">
        <v>2</v>
      </c>
      <c r="E176" s="11" t="n">
        <v>2.62</v>
      </c>
      <c r="F176" s="12" t="n">
        <f aca="false">E176*6</f>
        <v>15.72</v>
      </c>
      <c r="G176" s="12" t="n">
        <f aca="false">E176*12</f>
        <v>31.44</v>
      </c>
      <c r="H176" s="11" t="n">
        <v>3.34</v>
      </c>
      <c r="I176" s="11" t="n">
        <v>15.05</v>
      </c>
      <c r="J176" s="11" t="n">
        <v>5.08</v>
      </c>
      <c r="K176" s="11" t="n">
        <v>5.02</v>
      </c>
      <c r="L176" s="11" t="n">
        <v>3.39</v>
      </c>
      <c r="M176" s="11" t="n">
        <v>2.12</v>
      </c>
      <c r="N176" s="11" t="n">
        <v>1.23</v>
      </c>
      <c r="O176" s="13" t="n">
        <v>0.173</v>
      </c>
    </row>
    <row r="177" customFormat="false" ht="15" hidden="false" customHeight="false" outlineLevel="0" collapsed="false">
      <c r="A177" s="4" t="s">
        <v>228</v>
      </c>
      <c r="B177" s="4" t="s">
        <v>165</v>
      </c>
      <c r="C177" s="4" t="s">
        <v>227</v>
      </c>
      <c r="D177" s="5" t="n">
        <v>2.5</v>
      </c>
      <c r="E177" s="6" t="n">
        <v>3.21</v>
      </c>
      <c r="F177" s="7" t="n">
        <f aca="false">E177*6</f>
        <v>19.26</v>
      </c>
      <c r="G177" s="7" t="n">
        <f aca="false">E177*12</f>
        <v>38.52</v>
      </c>
      <c r="H177" s="6" t="n">
        <v>4.09</v>
      </c>
      <c r="I177" s="6" t="n">
        <v>17.93</v>
      </c>
      <c r="J177" s="6" t="n">
        <v>6</v>
      </c>
      <c r="K177" s="6" t="n">
        <v>5.98</v>
      </c>
      <c r="L177" s="6" t="n">
        <v>4</v>
      </c>
      <c r="M177" s="6" t="n">
        <v>2.09</v>
      </c>
      <c r="N177" s="6" t="n">
        <v>1.21</v>
      </c>
      <c r="O177" s="8" t="n">
        <v>0.171</v>
      </c>
    </row>
    <row r="178" customFormat="false" ht="15" hidden="false" customHeight="false" outlineLevel="0" collapsed="false">
      <c r="A178" s="9" t="s">
        <v>229</v>
      </c>
      <c r="B178" s="9" t="s">
        <v>165</v>
      </c>
      <c r="C178" s="9" t="s">
        <v>227</v>
      </c>
      <c r="D178" s="10" t="n">
        <v>3</v>
      </c>
      <c r="E178" s="11" t="n">
        <v>3.77</v>
      </c>
      <c r="F178" s="12" t="n">
        <f aca="false">E178*6</f>
        <v>22.62</v>
      </c>
      <c r="G178" s="12" t="n">
        <f aca="false">E178*12</f>
        <v>45.24</v>
      </c>
      <c r="H178" s="11" t="n">
        <v>4.81</v>
      </c>
      <c r="I178" s="11" t="n">
        <v>20.5</v>
      </c>
      <c r="J178" s="11" t="n">
        <v>6.8</v>
      </c>
      <c r="K178" s="11" t="n">
        <v>6.83</v>
      </c>
      <c r="L178" s="11" t="n">
        <v>4.53</v>
      </c>
      <c r="M178" s="11" t="n">
        <v>2.06</v>
      </c>
      <c r="N178" s="11" t="n">
        <v>1.19</v>
      </c>
      <c r="O178" s="13" t="n">
        <v>0.17</v>
      </c>
    </row>
    <row r="179" customFormat="false" ht="15" hidden="false" customHeight="false" outlineLevel="0" collapsed="false">
      <c r="A179" s="4" t="s">
        <v>230</v>
      </c>
      <c r="B179" s="4" t="s">
        <v>165</v>
      </c>
      <c r="C179" s="4" t="s">
        <v>227</v>
      </c>
      <c r="D179" s="5" t="n">
        <v>4</v>
      </c>
      <c r="E179" s="6" t="n">
        <v>4.83</v>
      </c>
      <c r="F179" s="7" t="n">
        <f aca="false">E179*6</f>
        <v>28.98</v>
      </c>
      <c r="G179" s="7" t="n">
        <f aca="false">E179*12</f>
        <v>57.96</v>
      </c>
      <c r="H179" s="6" t="n">
        <v>6.15</v>
      </c>
      <c r="I179" s="6" t="n">
        <v>24.7</v>
      </c>
      <c r="J179" s="6" t="n">
        <v>8.05</v>
      </c>
      <c r="K179" s="6" t="n">
        <v>8.23</v>
      </c>
      <c r="L179" s="6" t="n">
        <v>5.37</v>
      </c>
      <c r="M179" s="6" t="n">
        <v>2</v>
      </c>
      <c r="N179" s="6" t="n">
        <v>1.14</v>
      </c>
      <c r="O179" s="8" t="n">
        <v>0.166</v>
      </c>
    </row>
    <row r="180" customFormat="false" ht="15" hidden="false" customHeight="false" outlineLevel="0" collapsed="false">
      <c r="A180" s="9" t="s">
        <v>231</v>
      </c>
      <c r="B180" s="9" t="s">
        <v>165</v>
      </c>
      <c r="C180" s="9" t="s">
        <v>227</v>
      </c>
      <c r="D180" s="10" t="n">
        <v>5</v>
      </c>
      <c r="E180" s="11" t="n">
        <v>5.77</v>
      </c>
      <c r="F180" s="12" t="n">
        <f aca="false">E180*6</f>
        <v>34.62</v>
      </c>
      <c r="G180" s="12" t="n">
        <f aca="false">E180*12</f>
        <v>69.24</v>
      </c>
      <c r="H180" s="11" t="n">
        <v>7.36</v>
      </c>
      <c r="I180" s="11" t="n">
        <v>27.74</v>
      </c>
      <c r="J180" s="11" t="n">
        <v>8.91</v>
      </c>
      <c r="K180" s="11" t="n">
        <v>9.25</v>
      </c>
      <c r="L180" s="11" t="n">
        <v>5.94</v>
      </c>
      <c r="M180" s="11" t="n">
        <v>1.94</v>
      </c>
      <c r="N180" s="11" t="n">
        <v>1.1</v>
      </c>
      <c r="O180" s="13" t="n">
        <v>0.163</v>
      </c>
    </row>
    <row r="181" customFormat="false" ht="15" hidden="false" customHeight="false" outlineLevel="0" collapsed="false">
      <c r="A181" s="4" t="s">
        <v>232</v>
      </c>
      <c r="B181" s="4" t="s">
        <v>165</v>
      </c>
      <c r="C181" s="4" t="s">
        <v>233</v>
      </c>
      <c r="D181" s="5" t="n">
        <v>2</v>
      </c>
      <c r="E181" s="6" t="n">
        <v>2.93</v>
      </c>
      <c r="F181" s="7" t="n">
        <f aca="false">E181*6</f>
        <v>17.58</v>
      </c>
      <c r="G181" s="7" t="n">
        <f aca="false">E181*12</f>
        <v>35.16</v>
      </c>
      <c r="H181" s="6" t="n">
        <v>3.74</v>
      </c>
      <c r="I181" s="6" t="n">
        <v>18.41</v>
      </c>
      <c r="J181" s="6" t="n">
        <v>9.83</v>
      </c>
      <c r="K181" s="6" t="n">
        <v>6.14</v>
      </c>
      <c r="L181" s="6" t="n">
        <v>4.92</v>
      </c>
      <c r="M181" s="6" t="n">
        <v>2.22</v>
      </c>
      <c r="N181" s="6" t="n">
        <v>1.62</v>
      </c>
      <c r="O181" s="8" t="n">
        <v>0.193</v>
      </c>
    </row>
    <row r="182" customFormat="false" ht="15" hidden="false" customHeight="false" outlineLevel="0" collapsed="false">
      <c r="A182" s="9" t="s">
        <v>234</v>
      </c>
      <c r="B182" s="9" t="s">
        <v>165</v>
      </c>
      <c r="C182" s="9" t="s">
        <v>233</v>
      </c>
      <c r="D182" s="10" t="n">
        <v>2.5</v>
      </c>
      <c r="E182" s="11" t="n">
        <v>3.6</v>
      </c>
      <c r="F182" s="12" t="n">
        <f aca="false">E182*6</f>
        <v>21.6</v>
      </c>
      <c r="G182" s="12" t="n">
        <f aca="false">E182*12</f>
        <v>43.2</v>
      </c>
      <c r="H182" s="11" t="n">
        <v>4.59</v>
      </c>
      <c r="I182" s="11" t="n">
        <v>22.07</v>
      </c>
      <c r="J182" s="11" t="n">
        <v>11.74</v>
      </c>
      <c r="K182" s="11" t="n">
        <v>7.36</v>
      </c>
      <c r="L182" s="11" t="n">
        <v>5.87</v>
      </c>
      <c r="M182" s="11" t="n">
        <v>2.19</v>
      </c>
      <c r="N182" s="11" t="n">
        <v>1.6</v>
      </c>
      <c r="O182" s="13" t="n">
        <v>0.191</v>
      </c>
    </row>
    <row r="183" customFormat="false" ht="15" hidden="false" customHeight="false" outlineLevel="0" collapsed="false">
      <c r="A183" s="4" t="s">
        <v>235</v>
      </c>
      <c r="B183" s="4" t="s">
        <v>165</v>
      </c>
      <c r="C183" s="4" t="s">
        <v>233</v>
      </c>
      <c r="D183" s="5" t="n">
        <v>3</v>
      </c>
      <c r="E183" s="6" t="n">
        <v>4.25</v>
      </c>
      <c r="F183" s="7" t="n">
        <f aca="false">E183*6</f>
        <v>25.5</v>
      </c>
      <c r="G183" s="7" t="n">
        <f aca="false">E183*12</f>
        <v>51</v>
      </c>
      <c r="H183" s="6" t="n">
        <v>5.41</v>
      </c>
      <c r="I183" s="6" t="n">
        <v>25.38</v>
      </c>
      <c r="J183" s="6" t="n">
        <v>13.44</v>
      </c>
      <c r="K183" s="6" t="n">
        <v>8.46</v>
      </c>
      <c r="L183" s="6" t="n">
        <v>6.72</v>
      </c>
      <c r="M183" s="6" t="n">
        <v>2.17</v>
      </c>
      <c r="N183" s="6" t="n">
        <v>1.58</v>
      </c>
      <c r="O183" s="8" t="n">
        <v>0.19</v>
      </c>
    </row>
    <row r="184" customFormat="false" ht="15" hidden="false" customHeight="false" outlineLevel="0" collapsed="false">
      <c r="A184" s="9" t="s">
        <v>236</v>
      </c>
      <c r="B184" s="9" t="s">
        <v>165</v>
      </c>
      <c r="C184" s="9" t="s">
        <v>233</v>
      </c>
      <c r="D184" s="10" t="n">
        <v>4</v>
      </c>
      <c r="E184" s="11" t="n">
        <v>5.45</v>
      </c>
      <c r="F184" s="12" t="n">
        <f aca="false">E184*6</f>
        <v>32.7</v>
      </c>
      <c r="G184" s="12" t="n">
        <f aca="false">E184*12</f>
        <v>65.4</v>
      </c>
      <c r="H184" s="11" t="n">
        <v>6.95</v>
      </c>
      <c r="I184" s="11" t="n">
        <v>30.98</v>
      </c>
      <c r="J184" s="11" t="n">
        <v>16.28</v>
      </c>
      <c r="K184" s="11" t="n">
        <v>10.33</v>
      </c>
      <c r="L184" s="11" t="n">
        <v>8.14</v>
      </c>
      <c r="M184" s="11" t="n">
        <v>2.11</v>
      </c>
      <c r="N184" s="11" t="n">
        <v>1.53</v>
      </c>
      <c r="O184" s="13" t="n">
        <v>0.186</v>
      </c>
    </row>
    <row r="185" customFormat="false" ht="15" hidden="false" customHeight="false" outlineLevel="0" collapsed="false">
      <c r="A185" s="4" t="s">
        <v>237</v>
      </c>
      <c r="B185" s="4" t="s">
        <v>165</v>
      </c>
      <c r="C185" s="4" t="s">
        <v>233</v>
      </c>
      <c r="D185" s="5" t="n">
        <v>5</v>
      </c>
      <c r="E185" s="6" t="n">
        <v>6.56</v>
      </c>
      <c r="F185" s="7" t="n">
        <f aca="false">E185*6</f>
        <v>39.36</v>
      </c>
      <c r="G185" s="7" t="n">
        <f aca="false">E185*12</f>
        <v>78.72</v>
      </c>
      <c r="H185" s="6" t="n">
        <v>8.36</v>
      </c>
      <c r="I185" s="6" t="n">
        <v>35.32</v>
      </c>
      <c r="J185" s="6" t="n">
        <v>18.42</v>
      </c>
      <c r="K185" s="6" t="n">
        <v>11.77</v>
      </c>
      <c r="L185" s="6" t="n">
        <v>9.21</v>
      </c>
      <c r="M185" s="6" t="n">
        <v>2.06</v>
      </c>
      <c r="N185" s="6" t="n">
        <v>1.48</v>
      </c>
      <c r="O185" s="8" t="n">
        <v>0.183</v>
      </c>
    </row>
    <row r="186" customFormat="false" ht="15" hidden="false" customHeight="false" outlineLevel="0" collapsed="false">
      <c r="A186" s="9" t="s">
        <v>238</v>
      </c>
      <c r="B186" s="9" t="s">
        <v>165</v>
      </c>
      <c r="C186" s="9" t="s">
        <v>239</v>
      </c>
      <c r="D186" s="10" t="n">
        <v>2</v>
      </c>
      <c r="E186" s="11" t="n">
        <v>2.93</v>
      </c>
      <c r="F186" s="12" t="n">
        <f aca="false">E186*6</f>
        <v>17.58</v>
      </c>
      <c r="G186" s="12" t="n">
        <f aca="false">E186*12</f>
        <v>35.16</v>
      </c>
      <c r="H186" s="11" t="n">
        <v>3.74</v>
      </c>
      <c r="I186" s="11" t="n">
        <v>22.22</v>
      </c>
      <c r="J186" s="11" t="n">
        <v>5.86</v>
      </c>
      <c r="K186" s="11" t="n">
        <v>6.35</v>
      </c>
      <c r="L186" s="11" t="n">
        <v>3.91</v>
      </c>
      <c r="M186" s="11" t="n">
        <v>2.44</v>
      </c>
      <c r="N186" s="11" t="n">
        <v>1.25</v>
      </c>
      <c r="O186" s="13" t="n">
        <v>0.193</v>
      </c>
    </row>
    <row r="187" customFormat="false" ht="15" hidden="false" customHeight="false" outlineLevel="0" collapsed="false">
      <c r="A187" s="4" t="s">
        <v>240</v>
      </c>
      <c r="B187" s="4" t="s">
        <v>165</v>
      </c>
      <c r="C187" s="4" t="s">
        <v>239</v>
      </c>
      <c r="D187" s="5" t="n">
        <v>2.5</v>
      </c>
      <c r="E187" s="6" t="n">
        <v>3.6</v>
      </c>
      <c r="F187" s="7" t="n">
        <f aca="false">E187*6</f>
        <v>21.6</v>
      </c>
      <c r="G187" s="7" t="n">
        <f aca="false">E187*12</f>
        <v>43.2</v>
      </c>
      <c r="H187" s="6" t="n">
        <v>4.59</v>
      </c>
      <c r="I187" s="6" t="n">
        <v>26.62</v>
      </c>
      <c r="J187" s="6" t="n">
        <v>6.95</v>
      </c>
      <c r="K187" s="6" t="n">
        <v>7.6</v>
      </c>
      <c r="L187" s="6" t="n">
        <v>4.63</v>
      </c>
      <c r="M187" s="6" t="n">
        <v>2.41</v>
      </c>
      <c r="N187" s="6" t="n">
        <v>1.23</v>
      </c>
      <c r="O187" s="8" t="n">
        <v>0.191</v>
      </c>
    </row>
    <row r="188" customFormat="false" ht="15" hidden="false" customHeight="false" outlineLevel="0" collapsed="false">
      <c r="A188" s="9" t="s">
        <v>241</v>
      </c>
      <c r="B188" s="9" t="s">
        <v>165</v>
      </c>
      <c r="C188" s="9" t="s">
        <v>239</v>
      </c>
      <c r="D188" s="10" t="n">
        <v>3</v>
      </c>
      <c r="E188" s="11" t="n">
        <v>4.25</v>
      </c>
      <c r="F188" s="12" t="n">
        <f aca="false">E188*6</f>
        <v>25.5</v>
      </c>
      <c r="G188" s="12" t="n">
        <f aca="false">E188*12</f>
        <v>51</v>
      </c>
      <c r="H188" s="11" t="n">
        <v>5.41</v>
      </c>
      <c r="I188" s="11" t="n">
        <v>30.57</v>
      </c>
      <c r="J188" s="11" t="n">
        <v>7.9</v>
      </c>
      <c r="K188" s="11" t="n">
        <v>8.73</v>
      </c>
      <c r="L188" s="11" t="n">
        <v>5.26</v>
      </c>
      <c r="M188" s="11" t="n">
        <v>2.38</v>
      </c>
      <c r="N188" s="11" t="n">
        <v>1.21</v>
      </c>
      <c r="O188" s="13" t="n">
        <v>0.19</v>
      </c>
    </row>
    <row r="189" customFormat="false" ht="15" hidden="false" customHeight="false" outlineLevel="0" collapsed="false">
      <c r="A189" s="4" t="s">
        <v>242</v>
      </c>
      <c r="B189" s="4" t="s">
        <v>165</v>
      </c>
      <c r="C189" s="4" t="s">
        <v>239</v>
      </c>
      <c r="D189" s="5" t="n">
        <v>4</v>
      </c>
      <c r="E189" s="6" t="n">
        <v>5.45</v>
      </c>
      <c r="F189" s="7" t="n">
        <f aca="false">E189*6</f>
        <v>32.7</v>
      </c>
      <c r="G189" s="7" t="n">
        <f aca="false">E189*12</f>
        <v>65.4</v>
      </c>
      <c r="H189" s="6" t="n">
        <v>6.95</v>
      </c>
      <c r="I189" s="6" t="n">
        <v>37.23</v>
      </c>
      <c r="J189" s="6" t="n">
        <v>9.42</v>
      </c>
      <c r="K189" s="6" t="n">
        <v>10.64</v>
      </c>
      <c r="L189" s="6" t="n">
        <v>6.28</v>
      </c>
      <c r="M189" s="6" t="n">
        <v>2.31</v>
      </c>
      <c r="N189" s="6" t="n">
        <v>1.16</v>
      </c>
      <c r="O189" s="8" t="n">
        <v>0.186</v>
      </c>
    </row>
    <row r="190" customFormat="false" ht="15" hidden="false" customHeight="false" outlineLevel="0" collapsed="false">
      <c r="A190" s="9" t="s">
        <v>243</v>
      </c>
      <c r="B190" s="9" t="s">
        <v>165</v>
      </c>
      <c r="C190" s="9" t="s">
        <v>239</v>
      </c>
      <c r="D190" s="10" t="n">
        <v>5</v>
      </c>
      <c r="E190" s="11" t="n">
        <v>6.56</v>
      </c>
      <c r="F190" s="12" t="n">
        <f aca="false">E190*6</f>
        <v>39.36</v>
      </c>
      <c r="G190" s="12" t="n">
        <f aca="false">E190*12</f>
        <v>78.72</v>
      </c>
      <c r="H190" s="11" t="n">
        <v>8.36</v>
      </c>
      <c r="I190" s="11" t="n">
        <v>42.29</v>
      </c>
      <c r="J190" s="11" t="n">
        <v>10.49</v>
      </c>
      <c r="K190" s="11" t="n">
        <v>12.08</v>
      </c>
      <c r="L190" s="11" t="n">
        <v>6.99</v>
      </c>
      <c r="M190" s="11" t="n">
        <v>2.25</v>
      </c>
      <c r="N190" s="11" t="n">
        <v>1.12</v>
      </c>
      <c r="O190" s="13" t="n">
        <v>0.183</v>
      </c>
    </row>
    <row r="191" customFormat="false" ht="15" hidden="false" customHeight="false" outlineLevel="0" collapsed="false">
      <c r="A191" s="4" t="s">
        <v>244</v>
      </c>
      <c r="B191" s="4" t="s">
        <v>165</v>
      </c>
      <c r="C191" s="4" t="s">
        <v>245</v>
      </c>
      <c r="D191" s="5" t="n">
        <v>2</v>
      </c>
      <c r="E191" s="6" t="n">
        <v>3.25</v>
      </c>
      <c r="F191" s="7" t="n">
        <f aca="false">E191*6</f>
        <v>19.5</v>
      </c>
      <c r="G191" s="7" t="n">
        <f aca="false">E191*12</f>
        <v>39</v>
      </c>
      <c r="H191" s="6" t="n">
        <v>4.14</v>
      </c>
      <c r="I191" s="6" t="n">
        <v>26.85</v>
      </c>
      <c r="J191" s="6" t="n">
        <v>11.28</v>
      </c>
      <c r="K191" s="6" t="n">
        <v>7.67</v>
      </c>
      <c r="L191" s="6" t="n">
        <v>5.64</v>
      </c>
      <c r="M191" s="6" t="n">
        <v>2.55</v>
      </c>
      <c r="N191" s="6" t="n">
        <v>1.65</v>
      </c>
      <c r="O191" s="8" t="n">
        <v>0.213</v>
      </c>
    </row>
    <row r="192" customFormat="false" ht="15" hidden="false" customHeight="false" outlineLevel="0" collapsed="false">
      <c r="A192" s="9" t="s">
        <v>246</v>
      </c>
      <c r="B192" s="9" t="s">
        <v>165</v>
      </c>
      <c r="C192" s="9" t="s">
        <v>245</v>
      </c>
      <c r="D192" s="10" t="n">
        <v>2.5</v>
      </c>
      <c r="E192" s="11" t="n">
        <v>3.99</v>
      </c>
      <c r="F192" s="12" t="n">
        <f aca="false">E192*6</f>
        <v>23.94</v>
      </c>
      <c r="G192" s="12" t="n">
        <f aca="false">E192*12</f>
        <v>47.88</v>
      </c>
      <c r="H192" s="11" t="n">
        <v>5.09</v>
      </c>
      <c r="I192" s="11" t="n">
        <v>32.31</v>
      </c>
      <c r="J192" s="11" t="n">
        <v>13.5</v>
      </c>
      <c r="K192" s="11" t="n">
        <v>9.23</v>
      </c>
      <c r="L192" s="11" t="n">
        <v>6.75</v>
      </c>
      <c r="M192" s="11" t="n">
        <v>2.52</v>
      </c>
      <c r="N192" s="11" t="n">
        <v>1.63</v>
      </c>
      <c r="O192" s="13" t="n">
        <v>0.211</v>
      </c>
    </row>
    <row r="193" customFormat="false" ht="15" hidden="false" customHeight="false" outlineLevel="0" collapsed="false">
      <c r="A193" s="4" t="s">
        <v>247</v>
      </c>
      <c r="B193" s="4" t="s">
        <v>165</v>
      </c>
      <c r="C193" s="4" t="s">
        <v>245</v>
      </c>
      <c r="D193" s="5" t="n">
        <v>3</v>
      </c>
      <c r="E193" s="6" t="n">
        <v>4.72</v>
      </c>
      <c r="F193" s="7" t="n">
        <f aca="false">E193*6</f>
        <v>28.32</v>
      </c>
      <c r="G193" s="7" t="n">
        <f aca="false">E193*12</f>
        <v>56.64</v>
      </c>
      <c r="H193" s="6" t="n">
        <v>6.01</v>
      </c>
      <c r="I193" s="6" t="n">
        <v>37.31</v>
      </c>
      <c r="J193" s="6" t="n">
        <v>15.5</v>
      </c>
      <c r="K193" s="6" t="n">
        <v>10.66</v>
      </c>
      <c r="L193" s="6" t="n">
        <v>7.75</v>
      </c>
      <c r="M193" s="6" t="n">
        <v>2.49</v>
      </c>
      <c r="N193" s="6" t="n">
        <v>1.61</v>
      </c>
      <c r="O193" s="8" t="n">
        <v>0.21</v>
      </c>
    </row>
    <row r="194" customFormat="false" ht="15" hidden="false" customHeight="false" outlineLevel="0" collapsed="false">
      <c r="A194" s="9" t="s">
        <v>248</v>
      </c>
      <c r="B194" s="9" t="s">
        <v>165</v>
      </c>
      <c r="C194" s="9" t="s">
        <v>245</v>
      </c>
      <c r="D194" s="10" t="n">
        <v>4</v>
      </c>
      <c r="E194" s="11" t="n">
        <v>6.08</v>
      </c>
      <c r="F194" s="12" t="n">
        <f aca="false">E194*6</f>
        <v>36.48</v>
      </c>
      <c r="G194" s="12" t="n">
        <f aca="false">E194*12</f>
        <v>72.96</v>
      </c>
      <c r="H194" s="11" t="n">
        <v>7.75</v>
      </c>
      <c r="I194" s="11" t="n">
        <v>45.95</v>
      </c>
      <c r="J194" s="11" t="n">
        <v>18.88</v>
      </c>
      <c r="K194" s="11" t="n">
        <v>13.13</v>
      </c>
      <c r="L194" s="11" t="n">
        <v>9.44</v>
      </c>
      <c r="M194" s="11" t="n">
        <v>2.44</v>
      </c>
      <c r="N194" s="11" t="n">
        <v>1.56</v>
      </c>
      <c r="O194" s="13" t="n">
        <v>0.206</v>
      </c>
    </row>
    <row r="195" customFormat="false" ht="15" hidden="false" customHeight="false" outlineLevel="0" collapsed="false">
      <c r="A195" s="4" t="s">
        <v>249</v>
      </c>
      <c r="B195" s="4" t="s">
        <v>165</v>
      </c>
      <c r="C195" s="4" t="s">
        <v>245</v>
      </c>
      <c r="D195" s="5" t="n">
        <v>5</v>
      </c>
      <c r="E195" s="6" t="n">
        <v>7.34</v>
      </c>
      <c r="F195" s="7" t="n">
        <f aca="false">E195*6</f>
        <v>44.04</v>
      </c>
      <c r="G195" s="7" t="n">
        <f aca="false">E195*12</f>
        <v>88.08</v>
      </c>
      <c r="H195" s="6" t="n">
        <v>9.36</v>
      </c>
      <c r="I195" s="6" t="n">
        <v>52.87</v>
      </c>
      <c r="J195" s="6" t="n">
        <v>21.51</v>
      </c>
      <c r="K195" s="6" t="n">
        <v>15.11</v>
      </c>
      <c r="L195" s="6" t="n">
        <v>10.75</v>
      </c>
      <c r="M195" s="6" t="n">
        <v>2.38</v>
      </c>
      <c r="N195" s="6" t="n">
        <v>1.52</v>
      </c>
      <c r="O195" s="8" t="n">
        <v>0.203</v>
      </c>
    </row>
    <row r="196" customFormat="false" ht="15" hidden="false" customHeight="false" outlineLevel="0" collapsed="false">
      <c r="A196" s="9" t="s">
        <v>250</v>
      </c>
      <c r="B196" s="9" t="s">
        <v>165</v>
      </c>
      <c r="C196" s="9" t="s">
        <v>251</v>
      </c>
      <c r="D196" s="10" t="n">
        <v>2</v>
      </c>
      <c r="E196" s="11" t="n">
        <v>3.56</v>
      </c>
      <c r="F196" s="12" t="n">
        <f aca="false">E196*6</f>
        <v>21.36</v>
      </c>
      <c r="G196" s="12" t="n">
        <f aca="false">E196*12</f>
        <v>42.72</v>
      </c>
      <c r="H196" s="11" t="n">
        <v>4.54</v>
      </c>
      <c r="I196" s="11" t="n">
        <v>31.47</v>
      </c>
      <c r="J196" s="11" t="n">
        <v>18.76</v>
      </c>
      <c r="K196" s="11" t="n">
        <v>8.99</v>
      </c>
      <c r="L196" s="11" t="n">
        <v>7.5</v>
      </c>
      <c r="M196" s="11" t="n">
        <v>2.63</v>
      </c>
      <c r="N196" s="11" t="n">
        <v>2.03</v>
      </c>
      <c r="O196" s="13" t="n">
        <v>0.233</v>
      </c>
    </row>
    <row r="197" customFormat="false" ht="15" hidden="false" customHeight="false" outlineLevel="0" collapsed="false">
      <c r="A197" s="4" t="s">
        <v>252</v>
      </c>
      <c r="B197" s="4" t="s">
        <v>165</v>
      </c>
      <c r="C197" s="4" t="s">
        <v>251</v>
      </c>
      <c r="D197" s="5" t="n">
        <v>2.5</v>
      </c>
      <c r="E197" s="6" t="n">
        <v>4.39</v>
      </c>
      <c r="F197" s="7" t="n">
        <f aca="false">E197*6</f>
        <v>26.34</v>
      </c>
      <c r="G197" s="7" t="n">
        <f aca="false">E197*12</f>
        <v>52.68</v>
      </c>
      <c r="H197" s="6" t="n">
        <v>5.59</v>
      </c>
      <c r="I197" s="6" t="n">
        <v>38.01</v>
      </c>
      <c r="J197" s="6" t="n">
        <v>22.59</v>
      </c>
      <c r="K197" s="6" t="n">
        <v>10.86</v>
      </c>
      <c r="L197" s="6" t="n">
        <v>9.04</v>
      </c>
      <c r="M197" s="6" t="n">
        <v>2.61</v>
      </c>
      <c r="N197" s="6" t="n">
        <v>2.01</v>
      </c>
      <c r="O197" s="8" t="n">
        <v>0.231</v>
      </c>
    </row>
    <row r="198" customFormat="false" ht="15" hidden="false" customHeight="false" outlineLevel="0" collapsed="false">
      <c r="A198" s="9" t="s">
        <v>253</v>
      </c>
      <c r="B198" s="9" t="s">
        <v>165</v>
      </c>
      <c r="C198" s="9" t="s">
        <v>251</v>
      </c>
      <c r="D198" s="10" t="n">
        <v>3</v>
      </c>
      <c r="E198" s="11" t="n">
        <v>5.19</v>
      </c>
      <c r="F198" s="12" t="n">
        <f aca="false">E198*6</f>
        <v>31.14</v>
      </c>
      <c r="G198" s="12" t="n">
        <f aca="false">E198*12</f>
        <v>62.28</v>
      </c>
      <c r="H198" s="11" t="n">
        <v>6.61</v>
      </c>
      <c r="I198" s="11" t="n">
        <v>44.05</v>
      </c>
      <c r="J198" s="11" t="n">
        <v>26.1</v>
      </c>
      <c r="K198" s="11" t="n">
        <v>12.59</v>
      </c>
      <c r="L198" s="11" t="n">
        <v>10.44</v>
      </c>
      <c r="M198" s="11" t="n">
        <v>2.58</v>
      </c>
      <c r="N198" s="11" t="n">
        <v>1.99</v>
      </c>
      <c r="O198" s="13" t="n">
        <v>0.23</v>
      </c>
    </row>
    <row r="199" customFormat="false" ht="15" hidden="false" customHeight="false" outlineLevel="0" collapsed="false">
      <c r="A199" s="4" t="s">
        <v>254</v>
      </c>
      <c r="B199" s="4" t="s">
        <v>165</v>
      </c>
      <c r="C199" s="4" t="s">
        <v>251</v>
      </c>
      <c r="D199" s="5" t="n">
        <v>4</v>
      </c>
      <c r="E199" s="6" t="n">
        <v>6.71</v>
      </c>
      <c r="F199" s="7" t="n">
        <f aca="false">E199*6</f>
        <v>40.26</v>
      </c>
      <c r="G199" s="7" t="n">
        <f aca="false">E199*12</f>
        <v>80.52</v>
      </c>
      <c r="H199" s="6" t="n">
        <v>8.55</v>
      </c>
      <c r="I199" s="6" t="n">
        <v>54.67</v>
      </c>
      <c r="J199" s="6" t="n">
        <v>32.22</v>
      </c>
      <c r="K199" s="6" t="n">
        <v>15.62</v>
      </c>
      <c r="L199" s="6" t="n">
        <v>12.89</v>
      </c>
      <c r="M199" s="6" t="n">
        <v>2.53</v>
      </c>
      <c r="N199" s="6" t="n">
        <v>1.94</v>
      </c>
      <c r="O199" s="8" t="n">
        <v>0.226</v>
      </c>
    </row>
    <row r="200" customFormat="false" ht="15" hidden="false" customHeight="false" outlineLevel="0" collapsed="false">
      <c r="A200" s="9" t="s">
        <v>255</v>
      </c>
      <c r="B200" s="9" t="s">
        <v>165</v>
      </c>
      <c r="C200" s="9" t="s">
        <v>251</v>
      </c>
      <c r="D200" s="10" t="n">
        <v>5</v>
      </c>
      <c r="E200" s="11" t="n">
        <v>8.13</v>
      </c>
      <c r="F200" s="12" t="n">
        <f aca="false">E200*6</f>
        <v>48.78</v>
      </c>
      <c r="G200" s="12" t="n">
        <f aca="false">E200*12</f>
        <v>97.56</v>
      </c>
      <c r="H200" s="11" t="n">
        <v>10.36</v>
      </c>
      <c r="I200" s="11" t="n">
        <v>63.46</v>
      </c>
      <c r="J200" s="11" t="n">
        <v>37.2</v>
      </c>
      <c r="K200" s="11" t="n">
        <v>18.13</v>
      </c>
      <c r="L200" s="11" t="n">
        <v>14.88</v>
      </c>
      <c r="M200" s="11" t="n">
        <v>2.48</v>
      </c>
      <c r="N200" s="11" t="n">
        <v>1.9</v>
      </c>
      <c r="O200" s="13" t="n">
        <v>0.223</v>
      </c>
    </row>
    <row r="201" customFormat="false" ht="15" hidden="false" customHeight="false" outlineLevel="0" collapsed="false">
      <c r="A201" s="4" t="s">
        <v>256</v>
      </c>
      <c r="B201" s="4" t="s">
        <v>165</v>
      </c>
      <c r="C201" s="4" t="s">
        <v>257</v>
      </c>
      <c r="D201" s="5" t="n">
        <v>2</v>
      </c>
      <c r="E201" s="6" t="n">
        <v>2.93</v>
      </c>
      <c r="F201" s="7" t="n">
        <f aca="false">E201*6</f>
        <v>17.58</v>
      </c>
      <c r="G201" s="7" t="n">
        <f aca="false">E201*12</f>
        <v>35.16</v>
      </c>
      <c r="H201" s="6" t="n">
        <v>3.74</v>
      </c>
      <c r="I201" s="6" t="n">
        <v>25.18</v>
      </c>
      <c r="J201" s="6" t="n">
        <v>2.64</v>
      </c>
      <c r="K201" s="6" t="n">
        <v>6.3</v>
      </c>
      <c r="L201" s="6" t="n">
        <v>2.64</v>
      </c>
      <c r="M201" s="6" t="n">
        <v>2.6</v>
      </c>
      <c r="N201" s="6" t="n">
        <v>0.84</v>
      </c>
      <c r="O201" s="8" t="n">
        <v>0.193</v>
      </c>
    </row>
    <row r="202" customFormat="false" ht="15" hidden="false" customHeight="false" outlineLevel="0" collapsed="false">
      <c r="A202" s="9" t="s">
        <v>258</v>
      </c>
      <c r="B202" s="9" t="s">
        <v>165</v>
      </c>
      <c r="C202" s="9" t="s">
        <v>257</v>
      </c>
      <c r="D202" s="10" t="n">
        <v>2.5</v>
      </c>
      <c r="E202" s="11" t="n">
        <v>3.6</v>
      </c>
      <c r="F202" s="12" t="n">
        <f aca="false">E202*6</f>
        <v>21.6</v>
      </c>
      <c r="G202" s="12" t="n">
        <f aca="false">E202*12</f>
        <v>43.2</v>
      </c>
      <c r="H202" s="11" t="n">
        <v>4.59</v>
      </c>
      <c r="I202" s="11" t="n">
        <v>30.08</v>
      </c>
      <c r="J202" s="11" t="n">
        <v>3.08</v>
      </c>
      <c r="K202" s="11" t="n">
        <v>7.52</v>
      </c>
      <c r="L202" s="11" t="n">
        <v>3.08</v>
      </c>
      <c r="M202" s="11" t="n">
        <v>2.56</v>
      </c>
      <c r="N202" s="11" t="n">
        <v>0.82</v>
      </c>
      <c r="O202" s="13" t="n">
        <v>0.191</v>
      </c>
    </row>
    <row r="203" customFormat="false" ht="15" hidden="false" customHeight="false" outlineLevel="0" collapsed="false">
      <c r="A203" s="4" t="s">
        <v>259</v>
      </c>
      <c r="B203" s="4" t="s">
        <v>165</v>
      </c>
      <c r="C203" s="4" t="s">
        <v>257</v>
      </c>
      <c r="D203" s="5" t="n">
        <v>3</v>
      </c>
      <c r="E203" s="6" t="n">
        <v>4.25</v>
      </c>
      <c r="F203" s="7" t="n">
        <f aca="false">E203*6</f>
        <v>25.5</v>
      </c>
      <c r="G203" s="7" t="n">
        <f aca="false">E203*12</f>
        <v>51</v>
      </c>
      <c r="H203" s="6" t="n">
        <v>5.41</v>
      </c>
      <c r="I203" s="6" t="n">
        <v>34.45</v>
      </c>
      <c r="J203" s="6" t="n">
        <v>3.44</v>
      </c>
      <c r="K203" s="6" t="n">
        <v>8.61</v>
      </c>
      <c r="L203" s="6" t="n">
        <v>3.44</v>
      </c>
      <c r="M203" s="6" t="n">
        <v>2.52</v>
      </c>
      <c r="N203" s="6" t="n">
        <v>0.8</v>
      </c>
      <c r="O203" s="8" t="n">
        <v>0.19</v>
      </c>
    </row>
    <row r="204" customFormat="false" ht="15" hidden="false" customHeight="false" outlineLevel="0" collapsed="false">
      <c r="A204" s="9" t="s">
        <v>260</v>
      </c>
      <c r="B204" s="9" t="s">
        <v>165</v>
      </c>
      <c r="C204" s="9" t="s">
        <v>257</v>
      </c>
      <c r="D204" s="10" t="n">
        <v>4</v>
      </c>
      <c r="E204" s="11" t="n">
        <v>5.45</v>
      </c>
      <c r="F204" s="12" t="n">
        <f aca="false">E204*6</f>
        <v>32.7</v>
      </c>
      <c r="G204" s="12" t="n">
        <f aca="false">E204*12</f>
        <v>65.4</v>
      </c>
      <c r="H204" s="11" t="n">
        <v>6.95</v>
      </c>
      <c r="I204" s="11" t="n">
        <v>41.66</v>
      </c>
      <c r="J204" s="11" t="n">
        <v>3.95</v>
      </c>
      <c r="K204" s="11" t="n">
        <v>10.42</v>
      </c>
      <c r="L204" s="11" t="n">
        <v>3.95</v>
      </c>
      <c r="M204" s="11" t="n">
        <v>2.45</v>
      </c>
      <c r="N204" s="11" t="n">
        <v>0.75</v>
      </c>
      <c r="O204" s="13" t="n">
        <v>0.186</v>
      </c>
    </row>
    <row r="205" customFormat="false" ht="15" hidden="false" customHeight="false" outlineLevel="0" collapsed="false">
      <c r="A205" s="4" t="s">
        <v>261</v>
      </c>
      <c r="B205" s="4" t="s">
        <v>165</v>
      </c>
      <c r="C205" s="4" t="s">
        <v>257</v>
      </c>
      <c r="D205" s="5" t="n">
        <v>5</v>
      </c>
      <c r="E205" s="6" t="n">
        <v>6.56</v>
      </c>
      <c r="F205" s="7" t="n">
        <f aca="false">E205*6</f>
        <v>39.36</v>
      </c>
      <c r="G205" s="7" t="n">
        <f aca="false">E205*12</f>
        <v>78.72</v>
      </c>
      <c r="H205" s="6" t="n">
        <v>8.36</v>
      </c>
      <c r="I205" s="6" t="n">
        <v>46.93</v>
      </c>
      <c r="J205" s="6" t="n">
        <v>4.24</v>
      </c>
      <c r="K205" s="6" t="n">
        <v>11.73</v>
      </c>
      <c r="L205" s="6" t="n">
        <v>4.24</v>
      </c>
      <c r="M205" s="6" t="n">
        <v>2.37</v>
      </c>
      <c r="N205" s="6" t="n">
        <v>0.71</v>
      </c>
      <c r="O205" s="8" t="n">
        <v>0.183</v>
      </c>
    </row>
    <row r="206" customFormat="false" ht="15" hidden="false" customHeight="false" outlineLevel="0" collapsed="false">
      <c r="A206" s="9" t="s">
        <v>262</v>
      </c>
      <c r="B206" s="9" t="s">
        <v>165</v>
      </c>
      <c r="C206" s="9" t="s">
        <v>263</v>
      </c>
      <c r="D206" s="10" t="n">
        <v>2</v>
      </c>
      <c r="E206" s="11" t="n">
        <v>3.56</v>
      </c>
      <c r="F206" s="12" t="n">
        <f aca="false">E206*6</f>
        <v>21.36</v>
      </c>
      <c r="G206" s="12" t="n">
        <f aca="false">E206*12</f>
        <v>42.72</v>
      </c>
      <c r="H206" s="11" t="n">
        <v>4.54</v>
      </c>
      <c r="I206" s="11" t="n">
        <v>37.36</v>
      </c>
      <c r="J206" s="11" t="n">
        <v>12.72</v>
      </c>
      <c r="K206" s="11" t="n">
        <v>9.34</v>
      </c>
      <c r="L206" s="11" t="n">
        <v>6.36</v>
      </c>
      <c r="M206" s="11" t="n">
        <v>2.87</v>
      </c>
      <c r="N206" s="11" t="n">
        <v>1.67</v>
      </c>
      <c r="O206" s="13" t="n">
        <v>0.233</v>
      </c>
    </row>
    <row r="207" customFormat="false" ht="15" hidden="false" customHeight="false" outlineLevel="0" collapsed="false">
      <c r="A207" s="4" t="s">
        <v>264</v>
      </c>
      <c r="B207" s="4" t="s">
        <v>165</v>
      </c>
      <c r="C207" s="4" t="s">
        <v>263</v>
      </c>
      <c r="D207" s="5" t="n">
        <v>2.5</v>
      </c>
      <c r="E207" s="6" t="n">
        <v>4.39</v>
      </c>
      <c r="F207" s="7" t="n">
        <f aca="false">E207*6</f>
        <v>26.34</v>
      </c>
      <c r="G207" s="7" t="n">
        <f aca="false">E207*12</f>
        <v>52.68</v>
      </c>
      <c r="H207" s="6" t="n">
        <v>5.59</v>
      </c>
      <c r="I207" s="6" t="n">
        <v>45.1</v>
      </c>
      <c r="J207" s="6" t="n">
        <v>15.26</v>
      </c>
      <c r="K207" s="6" t="n">
        <v>11.28</v>
      </c>
      <c r="L207" s="6" t="n">
        <v>7.63</v>
      </c>
      <c r="M207" s="6" t="n">
        <v>2.84</v>
      </c>
      <c r="N207" s="6" t="n">
        <v>1.65</v>
      </c>
      <c r="O207" s="8" t="n">
        <v>0.231</v>
      </c>
    </row>
    <row r="208" customFormat="false" ht="15" hidden="false" customHeight="false" outlineLevel="0" collapsed="false">
      <c r="A208" s="9" t="s">
        <v>265</v>
      </c>
      <c r="B208" s="9" t="s">
        <v>165</v>
      </c>
      <c r="C208" s="9" t="s">
        <v>263</v>
      </c>
      <c r="D208" s="10" t="n">
        <v>3</v>
      </c>
      <c r="E208" s="11" t="n">
        <v>5.19</v>
      </c>
      <c r="F208" s="12" t="n">
        <f aca="false">E208*6</f>
        <v>31.14</v>
      </c>
      <c r="G208" s="12" t="n">
        <f aca="false">E208*12</f>
        <v>62.28</v>
      </c>
      <c r="H208" s="11" t="n">
        <v>6.61</v>
      </c>
      <c r="I208" s="11" t="n">
        <v>52.25</v>
      </c>
      <c r="J208" s="11" t="n">
        <v>17.55</v>
      </c>
      <c r="K208" s="11" t="n">
        <v>13.06</v>
      </c>
      <c r="L208" s="11" t="n">
        <v>8.78</v>
      </c>
      <c r="M208" s="11" t="n">
        <v>2.81</v>
      </c>
      <c r="N208" s="11" t="n">
        <v>1.63</v>
      </c>
      <c r="O208" s="13" t="n">
        <v>0.23</v>
      </c>
    </row>
    <row r="209" customFormat="false" ht="15" hidden="false" customHeight="false" outlineLevel="0" collapsed="false">
      <c r="A209" s="4" t="s">
        <v>266</v>
      </c>
      <c r="B209" s="4" t="s">
        <v>165</v>
      </c>
      <c r="C209" s="4" t="s">
        <v>263</v>
      </c>
      <c r="D209" s="5" t="n">
        <v>4</v>
      </c>
      <c r="E209" s="6" t="n">
        <v>6.71</v>
      </c>
      <c r="F209" s="7" t="n">
        <f aca="false">E209*6</f>
        <v>40.26</v>
      </c>
      <c r="G209" s="7" t="n">
        <f aca="false">E209*12</f>
        <v>80.52</v>
      </c>
      <c r="H209" s="6" t="n">
        <v>8.55</v>
      </c>
      <c r="I209" s="6" t="n">
        <v>64.79</v>
      </c>
      <c r="J209" s="6" t="n">
        <v>21.48</v>
      </c>
      <c r="K209" s="6" t="n">
        <v>16.2</v>
      </c>
      <c r="L209" s="6" t="n">
        <v>10.74</v>
      </c>
      <c r="M209" s="6" t="n">
        <v>2.75</v>
      </c>
      <c r="N209" s="6" t="n">
        <v>1.59</v>
      </c>
      <c r="O209" s="8" t="n">
        <v>0.226</v>
      </c>
    </row>
    <row r="210" customFormat="false" ht="15" hidden="false" customHeight="false" outlineLevel="0" collapsed="false">
      <c r="A210" s="9" t="s">
        <v>267</v>
      </c>
      <c r="B210" s="9" t="s">
        <v>165</v>
      </c>
      <c r="C210" s="9" t="s">
        <v>263</v>
      </c>
      <c r="D210" s="10" t="n">
        <v>5</v>
      </c>
      <c r="E210" s="11" t="n">
        <v>8.13</v>
      </c>
      <c r="F210" s="12" t="n">
        <f aca="false">E210*6</f>
        <v>48.78</v>
      </c>
      <c r="G210" s="12" t="n">
        <f aca="false">E210*12</f>
        <v>97.56</v>
      </c>
      <c r="H210" s="11" t="n">
        <v>10.36</v>
      </c>
      <c r="I210" s="11" t="n">
        <v>75.1</v>
      </c>
      <c r="J210" s="11" t="n">
        <v>24.59</v>
      </c>
      <c r="K210" s="11" t="n">
        <v>18.78</v>
      </c>
      <c r="L210" s="11" t="n">
        <v>12.3</v>
      </c>
      <c r="M210" s="11" t="n">
        <v>2.69</v>
      </c>
      <c r="N210" s="11" t="n">
        <v>1.54</v>
      </c>
      <c r="O210" s="13" t="n">
        <v>0.223</v>
      </c>
    </row>
    <row r="211" customFormat="false" ht="15" hidden="false" customHeight="false" outlineLevel="0" collapsed="false">
      <c r="A211" s="4" t="s">
        <v>268</v>
      </c>
      <c r="B211" s="4" t="s">
        <v>165</v>
      </c>
      <c r="C211" s="4" t="s">
        <v>269</v>
      </c>
      <c r="D211" s="5" t="n">
        <v>2</v>
      </c>
      <c r="E211" s="6" t="n">
        <v>4.19</v>
      </c>
      <c r="F211" s="7" t="n">
        <f aca="false">E211*6</f>
        <v>25.14</v>
      </c>
      <c r="G211" s="7" t="n">
        <f aca="false">E211*12</f>
        <v>50.28</v>
      </c>
      <c r="H211" s="6" t="n">
        <v>5.34</v>
      </c>
      <c r="I211" s="6" t="n">
        <v>49.53</v>
      </c>
      <c r="J211" s="6" t="n">
        <v>31.87</v>
      </c>
      <c r="K211" s="6" t="n">
        <v>12.38</v>
      </c>
      <c r="L211" s="6" t="n">
        <v>10.62</v>
      </c>
      <c r="M211" s="6" t="n">
        <v>3.05</v>
      </c>
      <c r="N211" s="6" t="n">
        <v>2.44</v>
      </c>
      <c r="O211" s="8" t="n">
        <v>0.273</v>
      </c>
    </row>
    <row r="212" customFormat="false" ht="15" hidden="false" customHeight="false" outlineLevel="0" collapsed="false">
      <c r="A212" s="9" t="s">
        <v>270</v>
      </c>
      <c r="B212" s="9" t="s">
        <v>165</v>
      </c>
      <c r="C212" s="9" t="s">
        <v>269</v>
      </c>
      <c r="D212" s="10" t="n">
        <v>2.5</v>
      </c>
      <c r="E212" s="11" t="n">
        <v>5.17</v>
      </c>
      <c r="F212" s="12" t="n">
        <f aca="false">E212*6</f>
        <v>31.02</v>
      </c>
      <c r="G212" s="12" t="n">
        <f aca="false">E212*12</f>
        <v>62.04</v>
      </c>
      <c r="H212" s="11" t="n">
        <v>6.59</v>
      </c>
      <c r="I212" s="11" t="n">
        <v>60.12</v>
      </c>
      <c r="J212" s="11" t="n">
        <v>38.61</v>
      </c>
      <c r="K212" s="11" t="n">
        <v>15.03</v>
      </c>
      <c r="L212" s="11" t="n">
        <v>12.87</v>
      </c>
      <c r="M212" s="11" t="n">
        <v>3.02</v>
      </c>
      <c r="N212" s="11" t="n">
        <v>2.42</v>
      </c>
      <c r="O212" s="13" t="n">
        <v>0.271</v>
      </c>
    </row>
    <row r="213" customFormat="false" ht="15" hidden="false" customHeight="false" outlineLevel="0" collapsed="false">
      <c r="A213" s="4" t="s">
        <v>271</v>
      </c>
      <c r="B213" s="4" t="s">
        <v>165</v>
      </c>
      <c r="C213" s="4" t="s">
        <v>269</v>
      </c>
      <c r="D213" s="5" t="n">
        <v>3</v>
      </c>
      <c r="E213" s="6" t="n">
        <v>6.13</v>
      </c>
      <c r="F213" s="7" t="n">
        <f aca="false">E213*6</f>
        <v>36.78</v>
      </c>
      <c r="G213" s="7" t="n">
        <f aca="false">E213*12</f>
        <v>73.56</v>
      </c>
      <c r="H213" s="6" t="n">
        <v>7.81</v>
      </c>
      <c r="I213" s="6" t="n">
        <v>70.04</v>
      </c>
      <c r="J213" s="6" t="n">
        <v>44.89</v>
      </c>
      <c r="K213" s="6" t="n">
        <v>17.51</v>
      </c>
      <c r="L213" s="6" t="n">
        <v>14.96</v>
      </c>
      <c r="M213" s="6" t="n">
        <v>3</v>
      </c>
      <c r="N213" s="6" t="n">
        <v>2.4</v>
      </c>
      <c r="O213" s="8" t="n">
        <v>0.27</v>
      </c>
    </row>
    <row r="214" customFormat="false" ht="15" hidden="false" customHeight="false" outlineLevel="0" collapsed="false">
      <c r="A214" s="9" t="s">
        <v>272</v>
      </c>
      <c r="B214" s="9" t="s">
        <v>165</v>
      </c>
      <c r="C214" s="9" t="s">
        <v>269</v>
      </c>
      <c r="D214" s="10" t="n">
        <v>4</v>
      </c>
      <c r="E214" s="11" t="n">
        <v>7.97</v>
      </c>
      <c r="F214" s="12" t="n">
        <f aca="false">E214*6</f>
        <v>47.82</v>
      </c>
      <c r="G214" s="12" t="n">
        <f aca="false">E214*12</f>
        <v>95.64</v>
      </c>
      <c r="H214" s="11" t="n">
        <v>10.15</v>
      </c>
      <c r="I214" s="11" t="n">
        <v>87.91</v>
      </c>
      <c r="J214" s="11" t="n">
        <v>56.11</v>
      </c>
      <c r="K214" s="11" t="n">
        <v>21.98</v>
      </c>
      <c r="L214" s="11" t="n">
        <v>18.7</v>
      </c>
      <c r="M214" s="11" t="n">
        <v>2.94</v>
      </c>
      <c r="N214" s="11" t="n">
        <v>2.35</v>
      </c>
      <c r="O214" s="13" t="n">
        <v>0.266</v>
      </c>
    </row>
    <row r="215" customFormat="false" ht="15" hidden="false" customHeight="false" outlineLevel="0" collapsed="false">
      <c r="A215" s="4" t="s">
        <v>273</v>
      </c>
      <c r="B215" s="4" t="s">
        <v>165</v>
      </c>
      <c r="C215" s="4" t="s">
        <v>269</v>
      </c>
      <c r="D215" s="5" t="n">
        <v>5</v>
      </c>
      <c r="E215" s="6" t="n">
        <v>9.7</v>
      </c>
      <c r="F215" s="7" t="n">
        <f aca="false">E215*6</f>
        <v>58.2</v>
      </c>
      <c r="G215" s="7" t="n">
        <f aca="false">E215*12</f>
        <v>116.4</v>
      </c>
      <c r="H215" s="6" t="n">
        <v>12.36</v>
      </c>
      <c r="I215" s="6" t="n">
        <v>103.27</v>
      </c>
      <c r="J215" s="6" t="n">
        <v>65.66</v>
      </c>
      <c r="K215" s="6" t="n">
        <v>25.82</v>
      </c>
      <c r="L215" s="6" t="n">
        <v>21.89</v>
      </c>
      <c r="M215" s="6" t="n">
        <v>2.89</v>
      </c>
      <c r="N215" s="6" t="n">
        <v>2.31</v>
      </c>
      <c r="O215" s="8" t="n">
        <v>0.263</v>
      </c>
    </row>
    <row r="216" customFormat="false" ht="15" hidden="false" customHeight="false" outlineLevel="0" collapsed="false">
      <c r="A216" s="9" t="s">
        <v>274</v>
      </c>
      <c r="B216" s="9" t="s">
        <v>165</v>
      </c>
      <c r="C216" s="9" t="s">
        <v>275</v>
      </c>
      <c r="D216" s="10" t="n">
        <v>2</v>
      </c>
      <c r="E216" s="11" t="n">
        <v>4.19</v>
      </c>
      <c r="F216" s="12" t="n">
        <f aca="false">E216*6</f>
        <v>25.14</v>
      </c>
      <c r="G216" s="12" t="n">
        <f aca="false">E216*12</f>
        <v>50.28</v>
      </c>
      <c r="H216" s="11" t="n">
        <v>5.34</v>
      </c>
      <c r="I216" s="11" t="n">
        <v>57.88</v>
      </c>
      <c r="J216" s="11" t="n">
        <v>23.37</v>
      </c>
      <c r="K216" s="11" t="n">
        <v>12.86</v>
      </c>
      <c r="L216" s="11" t="n">
        <v>9.35</v>
      </c>
      <c r="M216" s="11" t="n">
        <v>3.29</v>
      </c>
      <c r="N216" s="11" t="n">
        <v>2.09</v>
      </c>
      <c r="O216" s="13" t="n">
        <v>0.273</v>
      </c>
    </row>
    <row r="217" customFormat="false" ht="15" hidden="false" customHeight="false" outlineLevel="0" collapsed="false">
      <c r="A217" s="4" t="s">
        <v>276</v>
      </c>
      <c r="B217" s="4" t="s">
        <v>165</v>
      </c>
      <c r="C217" s="4" t="s">
        <v>275</v>
      </c>
      <c r="D217" s="5" t="n">
        <v>2.5</v>
      </c>
      <c r="E217" s="6" t="n">
        <v>5.17</v>
      </c>
      <c r="F217" s="7" t="n">
        <f aca="false">E217*6</f>
        <v>31.02</v>
      </c>
      <c r="G217" s="7" t="n">
        <f aca="false">E217*12</f>
        <v>62.04</v>
      </c>
      <c r="H217" s="6" t="n">
        <v>6.59</v>
      </c>
      <c r="I217" s="6" t="n">
        <v>70.26</v>
      </c>
      <c r="J217" s="6" t="n">
        <v>28.23</v>
      </c>
      <c r="K217" s="6" t="n">
        <v>15.61</v>
      </c>
      <c r="L217" s="6" t="n">
        <v>11.29</v>
      </c>
      <c r="M217" s="6" t="n">
        <v>3.27</v>
      </c>
      <c r="N217" s="6" t="n">
        <v>2.07</v>
      </c>
      <c r="O217" s="8" t="n">
        <v>0.271</v>
      </c>
    </row>
    <row r="218" customFormat="false" ht="15" hidden="false" customHeight="false" outlineLevel="0" collapsed="false">
      <c r="A218" s="9" t="s">
        <v>277</v>
      </c>
      <c r="B218" s="9" t="s">
        <v>165</v>
      </c>
      <c r="C218" s="9" t="s">
        <v>275</v>
      </c>
      <c r="D218" s="10" t="n">
        <v>3</v>
      </c>
      <c r="E218" s="11" t="n">
        <v>6.13</v>
      </c>
      <c r="F218" s="12" t="n">
        <f aca="false">E218*6</f>
        <v>36.78</v>
      </c>
      <c r="G218" s="12" t="n">
        <f aca="false">E218*12</f>
        <v>73.56</v>
      </c>
      <c r="H218" s="11" t="n">
        <v>7.81</v>
      </c>
      <c r="I218" s="11" t="n">
        <v>81.85</v>
      </c>
      <c r="J218" s="11" t="n">
        <v>32.74</v>
      </c>
      <c r="K218" s="11" t="n">
        <v>18.19</v>
      </c>
      <c r="L218" s="11" t="n">
        <v>13.1</v>
      </c>
      <c r="M218" s="11" t="n">
        <v>3.24</v>
      </c>
      <c r="N218" s="11" t="n">
        <v>2.05</v>
      </c>
      <c r="O218" s="13" t="n">
        <v>0.27</v>
      </c>
    </row>
    <row r="219" customFormat="false" ht="15" hidden="false" customHeight="false" outlineLevel="0" collapsed="false">
      <c r="A219" s="4" t="s">
        <v>278</v>
      </c>
      <c r="B219" s="4" t="s">
        <v>165</v>
      </c>
      <c r="C219" s="4" t="s">
        <v>275</v>
      </c>
      <c r="D219" s="5" t="n">
        <v>4</v>
      </c>
      <c r="E219" s="6" t="n">
        <v>7.97</v>
      </c>
      <c r="F219" s="7" t="n">
        <f aca="false">E219*6</f>
        <v>47.82</v>
      </c>
      <c r="G219" s="7" t="n">
        <f aca="false">E219*12</f>
        <v>95.64</v>
      </c>
      <c r="H219" s="6" t="n">
        <v>10.15</v>
      </c>
      <c r="I219" s="6" t="n">
        <v>102.7</v>
      </c>
      <c r="J219" s="6" t="n">
        <v>40.7</v>
      </c>
      <c r="K219" s="6" t="n">
        <v>22.82</v>
      </c>
      <c r="L219" s="6" t="n">
        <v>16.28</v>
      </c>
      <c r="M219" s="6" t="n">
        <v>3.18</v>
      </c>
      <c r="N219" s="6" t="n">
        <v>2</v>
      </c>
      <c r="O219" s="8" t="n">
        <v>0.266</v>
      </c>
    </row>
    <row r="220" customFormat="false" ht="15" hidden="false" customHeight="false" outlineLevel="0" collapsed="false">
      <c r="A220" s="9" t="s">
        <v>279</v>
      </c>
      <c r="B220" s="9" t="s">
        <v>165</v>
      </c>
      <c r="C220" s="9" t="s">
        <v>275</v>
      </c>
      <c r="D220" s="10" t="n">
        <v>5</v>
      </c>
      <c r="E220" s="11" t="n">
        <v>9.7</v>
      </c>
      <c r="F220" s="12" t="n">
        <f aca="false">E220*6</f>
        <v>58.2</v>
      </c>
      <c r="G220" s="12" t="n">
        <f aca="false">E220*12</f>
        <v>116.4</v>
      </c>
      <c r="H220" s="11" t="n">
        <v>12.36</v>
      </c>
      <c r="I220" s="11" t="n">
        <v>120.59</v>
      </c>
      <c r="J220" s="11" t="n">
        <v>47.37</v>
      </c>
      <c r="K220" s="11" t="n">
        <v>26.8</v>
      </c>
      <c r="L220" s="11" t="n">
        <v>18.95</v>
      </c>
      <c r="M220" s="11" t="n">
        <v>3.12</v>
      </c>
      <c r="N220" s="11" t="n">
        <v>1.96</v>
      </c>
      <c r="O220" s="13" t="n">
        <v>0.263</v>
      </c>
    </row>
    <row r="221" customFormat="false" ht="15" hidden="false" customHeight="false" outlineLevel="0" collapsed="false">
      <c r="A221" s="4" t="s">
        <v>280</v>
      </c>
      <c r="B221" s="4" t="s">
        <v>165</v>
      </c>
      <c r="C221" s="4" t="s">
        <v>275</v>
      </c>
      <c r="D221" s="5" t="n">
        <v>6</v>
      </c>
      <c r="E221" s="6" t="n">
        <v>11.33</v>
      </c>
      <c r="F221" s="7" t="n">
        <f aca="false">E221*6</f>
        <v>67.98</v>
      </c>
      <c r="G221" s="7" t="n">
        <f aca="false">E221*12</f>
        <v>135.96</v>
      </c>
      <c r="H221" s="6" t="n">
        <v>14.43</v>
      </c>
      <c r="I221" s="6" t="n">
        <v>135.65</v>
      </c>
      <c r="J221" s="6" t="n">
        <v>52.83</v>
      </c>
      <c r="K221" s="6" t="n">
        <v>30.14</v>
      </c>
      <c r="L221" s="6" t="n">
        <v>21.13</v>
      </c>
      <c r="M221" s="6" t="n">
        <v>3.07</v>
      </c>
      <c r="N221" s="6" t="n">
        <v>1.91</v>
      </c>
      <c r="O221" s="8" t="n">
        <v>0.259</v>
      </c>
    </row>
    <row r="222" customFormat="false" ht="15" hidden="false" customHeight="false" outlineLevel="0" collapsed="false">
      <c r="A222" s="9" t="s">
        <v>281</v>
      </c>
      <c r="B222" s="9" t="s">
        <v>165</v>
      </c>
      <c r="C222" s="9" t="s">
        <v>282</v>
      </c>
      <c r="D222" s="10" t="n">
        <v>2</v>
      </c>
      <c r="E222" s="11" t="n">
        <v>3.56</v>
      </c>
      <c r="F222" s="12" t="n">
        <f aca="false">E222*6</f>
        <v>21.36</v>
      </c>
      <c r="G222" s="12" t="n">
        <f aca="false">E222*12</f>
        <v>42.72</v>
      </c>
      <c r="H222" s="11" t="n">
        <v>4.54</v>
      </c>
      <c r="I222" s="11" t="n">
        <v>46.16</v>
      </c>
      <c r="J222" s="11" t="n">
        <v>3.29</v>
      </c>
      <c r="K222" s="11" t="n">
        <v>9.23</v>
      </c>
      <c r="L222" s="11" t="n">
        <v>3.29</v>
      </c>
      <c r="M222" s="11" t="n">
        <v>3.19</v>
      </c>
      <c r="N222" s="11" t="n">
        <v>0.85</v>
      </c>
      <c r="O222" s="13" t="n">
        <v>0.233</v>
      </c>
    </row>
    <row r="223" customFormat="false" ht="15" hidden="false" customHeight="false" outlineLevel="0" collapsed="false">
      <c r="A223" s="4" t="s">
        <v>283</v>
      </c>
      <c r="B223" s="4" t="s">
        <v>165</v>
      </c>
      <c r="C223" s="4" t="s">
        <v>282</v>
      </c>
      <c r="D223" s="5" t="n">
        <v>2.5</v>
      </c>
      <c r="E223" s="6" t="n">
        <v>4.39</v>
      </c>
      <c r="F223" s="7" t="n">
        <f aca="false">E223*6</f>
        <v>26.34</v>
      </c>
      <c r="G223" s="7" t="n">
        <f aca="false">E223*12</f>
        <v>52.68</v>
      </c>
      <c r="H223" s="6" t="n">
        <v>5.59</v>
      </c>
      <c r="I223" s="6" t="n">
        <v>55.54</v>
      </c>
      <c r="J223" s="6" t="n">
        <v>3.85</v>
      </c>
      <c r="K223" s="6" t="n">
        <v>11.11</v>
      </c>
      <c r="L223" s="6" t="n">
        <v>3.85</v>
      </c>
      <c r="M223" s="6" t="n">
        <v>3.15</v>
      </c>
      <c r="N223" s="6" t="n">
        <v>0.83</v>
      </c>
      <c r="O223" s="8" t="n">
        <v>0.231</v>
      </c>
    </row>
    <row r="224" customFormat="false" ht="15" hidden="false" customHeight="false" outlineLevel="0" collapsed="false">
      <c r="A224" s="9" t="s">
        <v>284</v>
      </c>
      <c r="B224" s="9" t="s">
        <v>165</v>
      </c>
      <c r="C224" s="9" t="s">
        <v>282</v>
      </c>
      <c r="D224" s="10" t="n">
        <v>3</v>
      </c>
      <c r="E224" s="11" t="n">
        <v>5.19</v>
      </c>
      <c r="F224" s="12" t="n">
        <f aca="false">E224*6</f>
        <v>31.14</v>
      </c>
      <c r="G224" s="12" t="n">
        <f aca="false">E224*12</f>
        <v>62.28</v>
      </c>
      <c r="H224" s="11" t="n">
        <v>6.61</v>
      </c>
      <c r="I224" s="11" t="n">
        <v>64.1</v>
      </c>
      <c r="J224" s="11" t="n">
        <v>4.31</v>
      </c>
      <c r="K224" s="11" t="n">
        <v>12.82</v>
      </c>
      <c r="L224" s="11" t="n">
        <v>4.31</v>
      </c>
      <c r="M224" s="11" t="n">
        <v>3.11</v>
      </c>
      <c r="N224" s="11" t="n">
        <v>0.81</v>
      </c>
      <c r="O224" s="13" t="n">
        <v>0.23</v>
      </c>
    </row>
    <row r="225" customFormat="false" ht="15" hidden="false" customHeight="false" outlineLevel="0" collapsed="false">
      <c r="A225" s="4" t="s">
        <v>285</v>
      </c>
      <c r="B225" s="4" t="s">
        <v>165</v>
      </c>
      <c r="C225" s="4" t="s">
        <v>282</v>
      </c>
      <c r="D225" s="5" t="n">
        <v>4</v>
      </c>
      <c r="E225" s="6" t="n">
        <v>6.71</v>
      </c>
      <c r="F225" s="7" t="n">
        <f aca="false">E225*6</f>
        <v>40.26</v>
      </c>
      <c r="G225" s="7" t="n">
        <f aca="false">E225*12</f>
        <v>80.52</v>
      </c>
      <c r="H225" s="6" t="n">
        <v>8.55</v>
      </c>
      <c r="I225" s="6" t="n">
        <v>78.8</v>
      </c>
      <c r="J225" s="6" t="n">
        <v>5</v>
      </c>
      <c r="K225" s="6" t="n">
        <v>15.76</v>
      </c>
      <c r="L225" s="6" t="n">
        <v>5</v>
      </c>
      <c r="M225" s="6" t="n">
        <v>3.04</v>
      </c>
      <c r="N225" s="6" t="n">
        <v>0.76</v>
      </c>
      <c r="O225" s="8" t="n">
        <v>0.226</v>
      </c>
    </row>
    <row r="226" customFormat="false" ht="15" hidden="false" customHeight="false" outlineLevel="0" collapsed="false">
      <c r="A226" s="9" t="s">
        <v>286</v>
      </c>
      <c r="B226" s="9" t="s">
        <v>165</v>
      </c>
      <c r="C226" s="9" t="s">
        <v>282</v>
      </c>
      <c r="D226" s="10" t="n">
        <v>5</v>
      </c>
      <c r="E226" s="11" t="n">
        <v>8.13</v>
      </c>
      <c r="F226" s="12" t="n">
        <f aca="false">E226*6</f>
        <v>48.78</v>
      </c>
      <c r="G226" s="12" t="n">
        <f aca="false">E226*12</f>
        <v>97.56</v>
      </c>
      <c r="H226" s="11" t="n">
        <v>10.36</v>
      </c>
      <c r="I226" s="11" t="n">
        <v>90.42</v>
      </c>
      <c r="J226" s="11" t="n">
        <v>5.4</v>
      </c>
      <c r="K226" s="11" t="n">
        <v>18.08</v>
      </c>
      <c r="L226" s="11" t="n">
        <v>5.4</v>
      </c>
      <c r="M226" s="11" t="n">
        <v>2.95</v>
      </c>
      <c r="N226" s="11" t="n">
        <v>0.72</v>
      </c>
      <c r="O226" s="13" t="n">
        <v>0.223</v>
      </c>
    </row>
    <row r="227" customFormat="false" ht="15" hidden="false" customHeight="false" outlineLevel="0" collapsed="false">
      <c r="A227" s="4" t="s">
        <v>287</v>
      </c>
      <c r="B227" s="4" t="s">
        <v>165</v>
      </c>
      <c r="C227" s="4" t="s">
        <v>288</v>
      </c>
      <c r="D227" s="5" t="n">
        <v>2</v>
      </c>
      <c r="E227" s="6" t="n">
        <v>3.88</v>
      </c>
      <c r="F227" s="7" t="n">
        <f aca="false">E227*6</f>
        <v>23.28</v>
      </c>
      <c r="G227" s="7" t="n">
        <f aca="false">E227*12</f>
        <v>46.56</v>
      </c>
      <c r="H227" s="6" t="n">
        <v>4.94</v>
      </c>
      <c r="I227" s="6" t="n">
        <v>55.77</v>
      </c>
      <c r="J227" s="6" t="n">
        <v>8.22</v>
      </c>
      <c r="K227" s="6" t="n">
        <v>11.15</v>
      </c>
      <c r="L227" s="6" t="n">
        <v>5.48</v>
      </c>
      <c r="M227" s="6" t="n">
        <v>3.36</v>
      </c>
      <c r="N227" s="6" t="n">
        <v>1.29</v>
      </c>
      <c r="O227" s="8" t="n">
        <v>0.253</v>
      </c>
    </row>
    <row r="228" customFormat="false" ht="15" hidden="false" customHeight="false" outlineLevel="0" collapsed="false">
      <c r="A228" s="9" t="s">
        <v>289</v>
      </c>
      <c r="B228" s="9" t="s">
        <v>165</v>
      </c>
      <c r="C228" s="9" t="s">
        <v>288</v>
      </c>
      <c r="D228" s="10" t="n">
        <v>2.5</v>
      </c>
      <c r="E228" s="11" t="n">
        <v>4.78</v>
      </c>
      <c r="F228" s="12" t="n">
        <f aca="false">E228*6</f>
        <v>28.68</v>
      </c>
      <c r="G228" s="12" t="n">
        <f aca="false">E228*12</f>
        <v>57.36</v>
      </c>
      <c r="H228" s="11" t="n">
        <v>6.09</v>
      </c>
      <c r="I228" s="11" t="n">
        <v>67.43</v>
      </c>
      <c r="J228" s="11" t="n">
        <v>9.79</v>
      </c>
      <c r="K228" s="11" t="n">
        <v>13.49</v>
      </c>
      <c r="L228" s="11" t="n">
        <v>6.53</v>
      </c>
      <c r="M228" s="11" t="n">
        <v>3.33</v>
      </c>
      <c r="N228" s="11" t="n">
        <v>1.27</v>
      </c>
      <c r="O228" s="13" t="n">
        <v>0.251</v>
      </c>
    </row>
    <row r="229" customFormat="false" ht="15" hidden="false" customHeight="false" outlineLevel="0" collapsed="false">
      <c r="A229" s="4" t="s">
        <v>290</v>
      </c>
      <c r="B229" s="4" t="s">
        <v>165</v>
      </c>
      <c r="C229" s="4" t="s">
        <v>288</v>
      </c>
      <c r="D229" s="5" t="n">
        <v>3</v>
      </c>
      <c r="E229" s="6" t="n">
        <v>5.66</v>
      </c>
      <c r="F229" s="7" t="n">
        <f aca="false">E229*6</f>
        <v>33.96</v>
      </c>
      <c r="G229" s="7" t="n">
        <f aca="false">E229*12</f>
        <v>67.92</v>
      </c>
      <c r="H229" s="6" t="n">
        <v>7.21</v>
      </c>
      <c r="I229" s="6" t="n">
        <v>78.22</v>
      </c>
      <c r="J229" s="6" t="n">
        <v>11.19</v>
      </c>
      <c r="K229" s="6" t="n">
        <v>15.64</v>
      </c>
      <c r="L229" s="6" t="n">
        <v>7.46</v>
      </c>
      <c r="M229" s="6" t="n">
        <v>3.29</v>
      </c>
      <c r="N229" s="6" t="n">
        <v>1.25</v>
      </c>
      <c r="O229" s="8" t="n">
        <v>0.25</v>
      </c>
    </row>
    <row r="230" customFormat="false" ht="15" hidden="false" customHeight="false" outlineLevel="0" collapsed="false">
      <c r="A230" s="9" t="s">
        <v>291</v>
      </c>
      <c r="B230" s="9" t="s">
        <v>165</v>
      </c>
      <c r="C230" s="9" t="s">
        <v>288</v>
      </c>
      <c r="D230" s="10" t="n">
        <v>4</v>
      </c>
      <c r="E230" s="11" t="n">
        <v>7.34</v>
      </c>
      <c r="F230" s="12" t="n">
        <f aca="false">E230*6</f>
        <v>44.04</v>
      </c>
      <c r="G230" s="12" t="n">
        <f aca="false">E230*12</f>
        <v>88.08</v>
      </c>
      <c r="H230" s="11" t="n">
        <v>9.35</v>
      </c>
      <c r="I230" s="11" t="n">
        <v>97.24</v>
      </c>
      <c r="J230" s="11" t="n">
        <v>13.51</v>
      </c>
      <c r="K230" s="11" t="n">
        <v>19.45</v>
      </c>
      <c r="L230" s="11" t="n">
        <v>9</v>
      </c>
      <c r="M230" s="11" t="n">
        <v>3.23</v>
      </c>
      <c r="N230" s="11" t="n">
        <v>1.2</v>
      </c>
      <c r="O230" s="13" t="n">
        <v>0.246</v>
      </c>
    </row>
    <row r="231" customFormat="false" ht="15" hidden="false" customHeight="false" outlineLevel="0" collapsed="false">
      <c r="A231" s="4" t="s">
        <v>292</v>
      </c>
      <c r="B231" s="4" t="s">
        <v>165</v>
      </c>
      <c r="C231" s="4" t="s">
        <v>288</v>
      </c>
      <c r="D231" s="5" t="n">
        <v>5</v>
      </c>
      <c r="E231" s="6" t="n">
        <v>8.91</v>
      </c>
      <c r="F231" s="7" t="n">
        <f aca="false">E231*6</f>
        <v>53.46</v>
      </c>
      <c r="G231" s="7" t="n">
        <f aca="false">E231*12</f>
        <v>106.92</v>
      </c>
      <c r="H231" s="6" t="n">
        <v>11.36</v>
      </c>
      <c r="I231" s="6" t="n">
        <v>113.01</v>
      </c>
      <c r="J231" s="6" t="n">
        <v>15.24</v>
      </c>
      <c r="K231" s="6" t="n">
        <v>22.6</v>
      </c>
      <c r="L231" s="6" t="n">
        <v>10.16</v>
      </c>
      <c r="M231" s="6" t="n">
        <v>3.15</v>
      </c>
      <c r="N231" s="6" t="n">
        <v>1.16</v>
      </c>
      <c r="O231" s="8" t="n">
        <v>0.243</v>
      </c>
    </row>
    <row r="232" customFormat="false" ht="15" hidden="false" customHeight="false" outlineLevel="0" collapsed="false">
      <c r="A232" s="9" t="s">
        <v>293</v>
      </c>
      <c r="B232" s="9" t="s">
        <v>165</v>
      </c>
      <c r="C232" s="9" t="s">
        <v>288</v>
      </c>
      <c r="D232" s="10" t="n">
        <v>6</v>
      </c>
      <c r="E232" s="11" t="n">
        <v>10.39</v>
      </c>
      <c r="F232" s="12" t="n">
        <f aca="false">E232*6</f>
        <v>62.34</v>
      </c>
      <c r="G232" s="12" t="n">
        <f aca="false">E232*12</f>
        <v>124.68</v>
      </c>
      <c r="H232" s="11" t="n">
        <v>13.23</v>
      </c>
      <c r="I232" s="11" t="n">
        <v>125.65</v>
      </c>
      <c r="J232" s="11" t="n">
        <v>16.47</v>
      </c>
      <c r="K232" s="11" t="n">
        <v>25.13</v>
      </c>
      <c r="L232" s="11" t="n">
        <v>10.98</v>
      </c>
      <c r="M232" s="11" t="n">
        <v>3.08</v>
      </c>
      <c r="N232" s="11" t="n">
        <v>1.12</v>
      </c>
      <c r="O232" s="13" t="n">
        <v>0.239</v>
      </c>
    </row>
    <row r="233" customFormat="false" ht="15" hidden="false" customHeight="false" outlineLevel="0" collapsed="false">
      <c r="A233" s="4" t="s">
        <v>294</v>
      </c>
      <c r="B233" s="4" t="s">
        <v>165</v>
      </c>
      <c r="C233" s="4" t="s">
        <v>295</v>
      </c>
      <c r="D233" s="5" t="n">
        <v>2</v>
      </c>
      <c r="E233" s="6" t="n">
        <v>4.19</v>
      </c>
      <c r="F233" s="7" t="n">
        <f aca="false">E233*6</f>
        <v>25.14</v>
      </c>
      <c r="G233" s="7" t="n">
        <f aca="false">E233*12</f>
        <v>50.28</v>
      </c>
      <c r="H233" s="6" t="n">
        <v>5.34</v>
      </c>
      <c r="I233" s="6" t="n">
        <v>65.37</v>
      </c>
      <c r="J233" s="6" t="n">
        <v>15.61</v>
      </c>
      <c r="K233" s="6" t="n">
        <v>13.07</v>
      </c>
      <c r="L233" s="6" t="n">
        <v>7.81</v>
      </c>
      <c r="M233" s="6" t="n">
        <v>3.5</v>
      </c>
      <c r="N233" s="6" t="n">
        <v>1.71</v>
      </c>
      <c r="O233" s="8" t="n">
        <v>0.273</v>
      </c>
    </row>
    <row r="234" customFormat="false" ht="15" hidden="false" customHeight="false" outlineLevel="0" collapsed="false">
      <c r="A234" s="9" t="s">
        <v>296</v>
      </c>
      <c r="B234" s="9" t="s">
        <v>165</v>
      </c>
      <c r="C234" s="9" t="s">
        <v>295</v>
      </c>
      <c r="D234" s="10" t="n">
        <v>2.5</v>
      </c>
      <c r="E234" s="11" t="n">
        <v>5.17</v>
      </c>
      <c r="F234" s="12" t="n">
        <f aca="false">E234*6</f>
        <v>31.02</v>
      </c>
      <c r="G234" s="12" t="n">
        <f aca="false">E234*12</f>
        <v>62.04</v>
      </c>
      <c r="H234" s="11" t="n">
        <v>6.59</v>
      </c>
      <c r="I234" s="11" t="n">
        <v>79.31</v>
      </c>
      <c r="J234" s="11" t="n">
        <v>18.78</v>
      </c>
      <c r="K234" s="11" t="n">
        <v>15.86</v>
      </c>
      <c r="L234" s="11" t="n">
        <v>9.39</v>
      </c>
      <c r="M234" s="11" t="n">
        <v>3.47</v>
      </c>
      <c r="N234" s="11" t="n">
        <v>1.69</v>
      </c>
      <c r="O234" s="13" t="n">
        <v>0.271</v>
      </c>
    </row>
    <row r="235" customFormat="false" ht="15" hidden="false" customHeight="false" outlineLevel="0" collapsed="false">
      <c r="A235" s="4" t="s">
        <v>297</v>
      </c>
      <c r="B235" s="4" t="s">
        <v>165</v>
      </c>
      <c r="C235" s="4" t="s">
        <v>295</v>
      </c>
      <c r="D235" s="5" t="n">
        <v>3</v>
      </c>
      <c r="E235" s="6" t="n">
        <v>6.13</v>
      </c>
      <c r="F235" s="7" t="n">
        <f aca="false">E235*6</f>
        <v>36.78</v>
      </c>
      <c r="G235" s="7" t="n">
        <f aca="false">E235*12</f>
        <v>73.56</v>
      </c>
      <c r="H235" s="6" t="n">
        <v>7.81</v>
      </c>
      <c r="I235" s="6" t="n">
        <v>92.33</v>
      </c>
      <c r="J235" s="6" t="n">
        <v>21.67</v>
      </c>
      <c r="K235" s="6" t="n">
        <v>18.47</v>
      </c>
      <c r="L235" s="6" t="n">
        <v>10.84</v>
      </c>
      <c r="M235" s="6" t="n">
        <v>3.44</v>
      </c>
      <c r="N235" s="6" t="n">
        <v>1.67</v>
      </c>
      <c r="O235" s="8" t="n">
        <v>0.27</v>
      </c>
    </row>
    <row r="236" customFormat="false" ht="15" hidden="false" customHeight="false" outlineLevel="0" collapsed="false">
      <c r="A236" s="9" t="s">
        <v>298</v>
      </c>
      <c r="B236" s="9" t="s">
        <v>165</v>
      </c>
      <c r="C236" s="9" t="s">
        <v>295</v>
      </c>
      <c r="D236" s="10" t="n">
        <v>4</v>
      </c>
      <c r="E236" s="11" t="n">
        <v>7.97</v>
      </c>
      <c r="F236" s="12" t="n">
        <f aca="false">E236*6</f>
        <v>47.82</v>
      </c>
      <c r="G236" s="12" t="n">
        <f aca="false">E236*12</f>
        <v>95.64</v>
      </c>
      <c r="H236" s="11" t="n">
        <v>10.15</v>
      </c>
      <c r="I236" s="11" t="n">
        <v>115.69</v>
      </c>
      <c r="J236" s="11" t="n">
        <v>26.69</v>
      </c>
      <c r="K236" s="11" t="n">
        <v>23.14</v>
      </c>
      <c r="L236" s="11" t="n">
        <v>13.34</v>
      </c>
      <c r="M236" s="11" t="n">
        <v>3.38</v>
      </c>
      <c r="N236" s="11" t="n">
        <v>1.62</v>
      </c>
      <c r="O236" s="13" t="n">
        <v>0.266</v>
      </c>
    </row>
    <row r="237" customFormat="false" ht="15" hidden="false" customHeight="false" outlineLevel="0" collapsed="false">
      <c r="A237" s="4" t="s">
        <v>299</v>
      </c>
      <c r="B237" s="4" t="s">
        <v>165</v>
      </c>
      <c r="C237" s="4" t="s">
        <v>295</v>
      </c>
      <c r="D237" s="5" t="n">
        <v>5</v>
      </c>
      <c r="E237" s="6" t="n">
        <v>9.7</v>
      </c>
      <c r="F237" s="7" t="n">
        <f aca="false">E237*6</f>
        <v>58.2</v>
      </c>
      <c r="G237" s="7" t="n">
        <f aca="false">E237*12</f>
        <v>116.4</v>
      </c>
      <c r="H237" s="6" t="n">
        <v>12.36</v>
      </c>
      <c r="I237" s="6" t="n">
        <v>135.59</v>
      </c>
      <c r="J237" s="6" t="n">
        <v>30.76</v>
      </c>
      <c r="K237" s="6" t="n">
        <v>27.12</v>
      </c>
      <c r="L237" s="6" t="n">
        <v>15.38</v>
      </c>
      <c r="M237" s="6" t="n">
        <v>3.31</v>
      </c>
      <c r="N237" s="6" t="n">
        <v>1.58</v>
      </c>
      <c r="O237" s="8" t="n">
        <v>0.263</v>
      </c>
    </row>
    <row r="238" customFormat="false" ht="15" hidden="false" customHeight="false" outlineLevel="0" collapsed="false">
      <c r="A238" s="9" t="s">
        <v>300</v>
      </c>
      <c r="B238" s="9" t="s">
        <v>165</v>
      </c>
      <c r="C238" s="9" t="s">
        <v>295</v>
      </c>
      <c r="D238" s="10" t="n">
        <v>6</v>
      </c>
      <c r="E238" s="11" t="n">
        <v>11.33</v>
      </c>
      <c r="F238" s="12" t="n">
        <f aca="false">E238*6</f>
        <v>67.98</v>
      </c>
      <c r="G238" s="12" t="n">
        <f aca="false">E238*12</f>
        <v>135.96</v>
      </c>
      <c r="H238" s="11" t="n">
        <v>14.43</v>
      </c>
      <c r="I238" s="11" t="n">
        <v>152.19</v>
      </c>
      <c r="J238" s="11" t="n">
        <v>33.96</v>
      </c>
      <c r="K238" s="11" t="n">
        <v>30.44</v>
      </c>
      <c r="L238" s="11" t="n">
        <v>16.98</v>
      </c>
      <c r="M238" s="11" t="n">
        <v>3.25</v>
      </c>
      <c r="N238" s="11" t="n">
        <v>1.53</v>
      </c>
      <c r="O238" s="13" t="n">
        <v>0.259</v>
      </c>
    </row>
    <row r="239" customFormat="false" ht="15" hidden="false" customHeight="false" outlineLevel="0" collapsed="false">
      <c r="A239" s="4" t="s">
        <v>301</v>
      </c>
      <c r="B239" s="4" t="s">
        <v>165</v>
      </c>
      <c r="C239" s="4" t="s">
        <v>302</v>
      </c>
      <c r="D239" s="5" t="n">
        <v>2</v>
      </c>
      <c r="E239" s="6" t="n">
        <v>4.5</v>
      </c>
      <c r="F239" s="7" t="n">
        <f aca="false">E239*6</f>
        <v>27</v>
      </c>
      <c r="G239" s="7" t="n">
        <f aca="false">E239*12</f>
        <v>54</v>
      </c>
      <c r="H239" s="6" t="n">
        <v>5.74</v>
      </c>
      <c r="I239" s="6" t="n">
        <v>74.98</v>
      </c>
      <c r="J239" s="6" t="n">
        <v>25.67</v>
      </c>
      <c r="K239" s="6" t="n">
        <v>15</v>
      </c>
      <c r="L239" s="6" t="n">
        <v>10.27</v>
      </c>
      <c r="M239" s="6" t="n">
        <v>3.62</v>
      </c>
      <c r="N239" s="6" t="n">
        <v>2.12</v>
      </c>
      <c r="O239" s="8" t="n">
        <v>0.293</v>
      </c>
    </row>
    <row r="240" customFormat="false" ht="15" hidden="false" customHeight="false" outlineLevel="0" collapsed="false">
      <c r="A240" s="9" t="s">
        <v>303</v>
      </c>
      <c r="B240" s="9" t="s">
        <v>165</v>
      </c>
      <c r="C240" s="9" t="s">
        <v>302</v>
      </c>
      <c r="D240" s="10" t="n">
        <v>2.5</v>
      </c>
      <c r="E240" s="11" t="n">
        <v>5.56</v>
      </c>
      <c r="F240" s="12" t="n">
        <f aca="false">E240*6</f>
        <v>33.36</v>
      </c>
      <c r="G240" s="12" t="n">
        <f aca="false">E240*12</f>
        <v>66.72</v>
      </c>
      <c r="H240" s="11" t="n">
        <v>7.09</v>
      </c>
      <c r="I240" s="11" t="n">
        <v>91.2</v>
      </c>
      <c r="J240" s="11" t="n">
        <v>31.06</v>
      </c>
      <c r="K240" s="11" t="n">
        <v>18.24</v>
      </c>
      <c r="L240" s="11" t="n">
        <v>12.42</v>
      </c>
      <c r="M240" s="11" t="n">
        <v>3.59</v>
      </c>
      <c r="N240" s="11" t="n">
        <v>2.09</v>
      </c>
      <c r="O240" s="13" t="n">
        <v>0.291</v>
      </c>
    </row>
    <row r="241" customFormat="false" ht="15" hidden="false" customHeight="false" outlineLevel="0" collapsed="false">
      <c r="A241" s="4" t="s">
        <v>304</v>
      </c>
      <c r="B241" s="4" t="s">
        <v>165</v>
      </c>
      <c r="C241" s="4" t="s">
        <v>302</v>
      </c>
      <c r="D241" s="5" t="n">
        <v>3</v>
      </c>
      <c r="E241" s="6" t="n">
        <v>6.6</v>
      </c>
      <c r="F241" s="7" t="n">
        <f aca="false">E241*6</f>
        <v>39.6</v>
      </c>
      <c r="G241" s="7" t="n">
        <f aca="false">E241*12</f>
        <v>79.2</v>
      </c>
      <c r="H241" s="6" t="n">
        <v>8.41</v>
      </c>
      <c r="I241" s="6" t="n">
        <v>106.45</v>
      </c>
      <c r="J241" s="6" t="n">
        <v>36.06</v>
      </c>
      <c r="K241" s="6" t="n">
        <v>21.29</v>
      </c>
      <c r="L241" s="6" t="n">
        <v>14.42</v>
      </c>
      <c r="M241" s="6" t="n">
        <v>3.56</v>
      </c>
      <c r="N241" s="6" t="n">
        <v>2.07</v>
      </c>
      <c r="O241" s="8" t="n">
        <v>0.29</v>
      </c>
    </row>
    <row r="242" customFormat="false" ht="15" hidden="false" customHeight="false" outlineLevel="0" collapsed="false">
      <c r="A242" s="9" t="s">
        <v>305</v>
      </c>
      <c r="B242" s="9" t="s">
        <v>165</v>
      </c>
      <c r="C242" s="9" t="s">
        <v>302</v>
      </c>
      <c r="D242" s="10" t="n">
        <v>4</v>
      </c>
      <c r="E242" s="11" t="n">
        <v>8.59</v>
      </c>
      <c r="F242" s="12" t="n">
        <f aca="false">E242*6</f>
        <v>51.54</v>
      </c>
      <c r="G242" s="12" t="n">
        <f aca="false">E242*12</f>
        <v>103.08</v>
      </c>
      <c r="H242" s="11" t="n">
        <v>10.95</v>
      </c>
      <c r="I242" s="11" t="n">
        <v>134.13</v>
      </c>
      <c r="J242" s="11" t="n">
        <v>44.95</v>
      </c>
      <c r="K242" s="11" t="n">
        <v>26.83</v>
      </c>
      <c r="L242" s="11" t="n">
        <v>17.98</v>
      </c>
      <c r="M242" s="11" t="n">
        <v>3.5</v>
      </c>
      <c r="N242" s="11" t="n">
        <v>2.03</v>
      </c>
      <c r="O242" s="13" t="n">
        <v>0.286</v>
      </c>
    </row>
    <row r="243" customFormat="false" ht="15" hidden="false" customHeight="false" outlineLevel="0" collapsed="false">
      <c r="A243" s="4" t="s">
        <v>306</v>
      </c>
      <c r="B243" s="4" t="s">
        <v>165</v>
      </c>
      <c r="C243" s="4" t="s">
        <v>302</v>
      </c>
      <c r="D243" s="5" t="n">
        <v>5</v>
      </c>
      <c r="E243" s="6" t="n">
        <v>10.48</v>
      </c>
      <c r="F243" s="7" t="n">
        <f aca="false">E243*6</f>
        <v>62.88</v>
      </c>
      <c r="G243" s="7" t="n">
        <f aca="false">E243*12</f>
        <v>125.76</v>
      </c>
      <c r="H243" s="6" t="n">
        <v>13.36</v>
      </c>
      <c r="I243" s="6" t="n">
        <v>158.17</v>
      </c>
      <c r="J243" s="6" t="n">
        <v>52.45</v>
      </c>
      <c r="K243" s="6" t="n">
        <v>31.63</v>
      </c>
      <c r="L243" s="6" t="n">
        <v>20.98</v>
      </c>
      <c r="M243" s="6" t="n">
        <v>3.44</v>
      </c>
      <c r="N243" s="6" t="n">
        <v>1.98</v>
      </c>
      <c r="O243" s="8" t="n">
        <v>0.283</v>
      </c>
    </row>
    <row r="244" customFormat="false" ht="15" hidden="false" customHeight="false" outlineLevel="0" collapsed="false">
      <c r="A244" s="9" t="s">
        <v>307</v>
      </c>
      <c r="B244" s="9" t="s">
        <v>165</v>
      </c>
      <c r="C244" s="9" t="s">
        <v>302</v>
      </c>
      <c r="D244" s="10" t="n">
        <v>6</v>
      </c>
      <c r="E244" s="11" t="n">
        <v>12.27</v>
      </c>
      <c r="F244" s="12" t="n">
        <f aca="false">E244*6</f>
        <v>73.62</v>
      </c>
      <c r="G244" s="12" t="n">
        <f aca="false">E244*12</f>
        <v>147.24</v>
      </c>
      <c r="H244" s="11" t="n">
        <v>15.63</v>
      </c>
      <c r="I244" s="11" t="n">
        <v>178.73</v>
      </c>
      <c r="J244" s="11" t="n">
        <v>58.67</v>
      </c>
      <c r="K244" s="11" t="n">
        <v>35.75</v>
      </c>
      <c r="L244" s="11" t="n">
        <v>23.47</v>
      </c>
      <c r="M244" s="11" t="n">
        <v>3.38</v>
      </c>
      <c r="N244" s="11" t="n">
        <v>1.94</v>
      </c>
      <c r="O244" s="13" t="n">
        <v>0.279</v>
      </c>
    </row>
    <row r="245" customFormat="false" ht="15" hidden="false" customHeight="false" outlineLevel="0" collapsed="false">
      <c r="A245" s="4" t="s">
        <v>308</v>
      </c>
      <c r="B245" s="4" t="s">
        <v>165</v>
      </c>
      <c r="C245" s="4" t="s">
        <v>309</v>
      </c>
      <c r="D245" s="5" t="n">
        <v>2</v>
      </c>
      <c r="E245" s="6" t="n">
        <v>4.82</v>
      </c>
      <c r="F245" s="7" t="n">
        <f aca="false">E245*6</f>
        <v>28.92</v>
      </c>
      <c r="G245" s="7" t="n">
        <f aca="false">E245*12</f>
        <v>57.84</v>
      </c>
      <c r="H245" s="6" t="n">
        <v>6.14</v>
      </c>
      <c r="I245" s="6" t="n">
        <v>84.58</v>
      </c>
      <c r="J245" s="6" t="n">
        <v>38.6</v>
      </c>
      <c r="K245" s="6" t="n">
        <v>16.92</v>
      </c>
      <c r="L245" s="6" t="n">
        <v>12.87</v>
      </c>
      <c r="M245" s="6" t="n">
        <v>3.71</v>
      </c>
      <c r="N245" s="6" t="n">
        <v>2.51</v>
      </c>
      <c r="O245" s="8" t="n">
        <v>0.313</v>
      </c>
    </row>
    <row r="246" customFormat="false" ht="15" hidden="false" customHeight="false" outlineLevel="0" collapsed="false">
      <c r="A246" s="9" t="s">
        <v>310</v>
      </c>
      <c r="B246" s="9" t="s">
        <v>165</v>
      </c>
      <c r="C246" s="9" t="s">
        <v>309</v>
      </c>
      <c r="D246" s="10" t="n">
        <v>2.5</v>
      </c>
      <c r="E246" s="11" t="n">
        <v>5.96</v>
      </c>
      <c r="F246" s="12" t="n">
        <f aca="false">E246*6</f>
        <v>35.76</v>
      </c>
      <c r="G246" s="12" t="n">
        <f aca="false">E246*12</f>
        <v>71.52</v>
      </c>
      <c r="H246" s="11" t="n">
        <v>7.59</v>
      </c>
      <c r="I246" s="11" t="n">
        <v>103.09</v>
      </c>
      <c r="J246" s="11" t="n">
        <v>46.88</v>
      </c>
      <c r="K246" s="11" t="n">
        <v>20.62</v>
      </c>
      <c r="L246" s="11" t="n">
        <v>15.63</v>
      </c>
      <c r="M246" s="11" t="n">
        <v>3.69</v>
      </c>
      <c r="N246" s="11" t="n">
        <v>2.49</v>
      </c>
      <c r="O246" s="13" t="n">
        <v>0.311</v>
      </c>
    </row>
    <row r="247" customFormat="false" ht="15" hidden="false" customHeight="false" outlineLevel="0" collapsed="false">
      <c r="A247" s="4" t="s">
        <v>311</v>
      </c>
      <c r="B247" s="4" t="s">
        <v>165</v>
      </c>
      <c r="C247" s="4" t="s">
        <v>309</v>
      </c>
      <c r="D247" s="5" t="n">
        <v>3</v>
      </c>
      <c r="E247" s="6" t="n">
        <v>7.07</v>
      </c>
      <c r="F247" s="7" t="n">
        <f aca="false">E247*6</f>
        <v>42.42</v>
      </c>
      <c r="G247" s="7" t="n">
        <f aca="false">E247*12</f>
        <v>84.84</v>
      </c>
      <c r="H247" s="6" t="n">
        <v>9.01</v>
      </c>
      <c r="I247" s="6" t="n">
        <v>120.57</v>
      </c>
      <c r="J247" s="6" t="n">
        <v>54.65</v>
      </c>
      <c r="K247" s="6" t="n">
        <v>24.11</v>
      </c>
      <c r="L247" s="6" t="n">
        <v>18.22</v>
      </c>
      <c r="M247" s="6" t="n">
        <v>3.66</v>
      </c>
      <c r="N247" s="6" t="n">
        <v>2.46</v>
      </c>
      <c r="O247" s="8" t="n">
        <v>0.31</v>
      </c>
    </row>
    <row r="248" customFormat="false" ht="15" hidden="false" customHeight="false" outlineLevel="0" collapsed="false">
      <c r="A248" s="9" t="s">
        <v>312</v>
      </c>
      <c r="B248" s="9" t="s">
        <v>165</v>
      </c>
      <c r="C248" s="9" t="s">
        <v>309</v>
      </c>
      <c r="D248" s="10" t="n">
        <v>4</v>
      </c>
      <c r="E248" s="11" t="n">
        <v>9.22</v>
      </c>
      <c r="F248" s="12" t="n">
        <f aca="false">E248*6</f>
        <v>55.32</v>
      </c>
      <c r="G248" s="12" t="n">
        <f aca="false">E248*12</f>
        <v>110.64</v>
      </c>
      <c r="H248" s="11" t="n">
        <v>11.75</v>
      </c>
      <c r="I248" s="11" t="n">
        <v>152.57</v>
      </c>
      <c r="J248" s="11" t="n">
        <v>68.68</v>
      </c>
      <c r="K248" s="11" t="n">
        <v>30.51</v>
      </c>
      <c r="L248" s="11" t="n">
        <v>22.89</v>
      </c>
      <c r="M248" s="11" t="n">
        <v>3.6</v>
      </c>
      <c r="N248" s="11" t="n">
        <v>2.42</v>
      </c>
      <c r="O248" s="13" t="n">
        <v>0.306</v>
      </c>
    </row>
    <row r="249" customFormat="false" ht="15" hidden="false" customHeight="false" outlineLevel="0" collapsed="false">
      <c r="A249" s="4" t="s">
        <v>313</v>
      </c>
      <c r="B249" s="4" t="s">
        <v>165</v>
      </c>
      <c r="C249" s="4" t="s">
        <v>309</v>
      </c>
      <c r="D249" s="5" t="n">
        <v>5</v>
      </c>
      <c r="E249" s="6" t="n">
        <v>11.27</v>
      </c>
      <c r="F249" s="7" t="n">
        <f aca="false">E249*6</f>
        <v>67.62</v>
      </c>
      <c r="G249" s="7" t="n">
        <f aca="false">E249*12</f>
        <v>135.24</v>
      </c>
      <c r="H249" s="6" t="n">
        <v>14.36</v>
      </c>
      <c r="I249" s="6" t="n">
        <v>180.76</v>
      </c>
      <c r="J249" s="6" t="n">
        <v>80.82</v>
      </c>
      <c r="K249" s="6" t="n">
        <v>36.15</v>
      </c>
      <c r="L249" s="6" t="n">
        <v>26.94</v>
      </c>
      <c r="M249" s="6" t="n">
        <v>3.55</v>
      </c>
      <c r="N249" s="6" t="n">
        <v>2.37</v>
      </c>
      <c r="O249" s="8" t="n">
        <v>0.303</v>
      </c>
    </row>
    <row r="250" customFormat="false" ht="15" hidden="false" customHeight="false" outlineLevel="0" collapsed="false">
      <c r="A250" s="9" t="s">
        <v>314</v>
      </c>
      <c r="B250" s="9" t="s">
        <v>165</v>
      </c>
      <c r="C250" s="9" t="s">
        <v>309</v>
      </c>
      <c r="D250" s="10" t="n">
        <v>6</v>
      </c>
      <c r="E250" s="11" t="n">
        <v>13.21</v>
      </c>
      <c r="F250" s="12" t="n">
        <f aca="false">E250*6</f>
        <v>79.26</v>
      </c>
      <c r="G250" s="12" t="n">
        <f aca="false">E250*12</f>
        <v>158.52</v>
      </c>
      <c r="H250" s="11" t="n">
        <v>16.83</v>
      </c>
      <c r="I250" s="11" t="n">
        <v>205.28</v>
      </c>
      <c r="J250" s="11" t="n">
        <v>91.2</v>
      </c>
      <c r="K250" s="11" t="n">
        <v>41.06</v>
      </c>
      <c r="L250" s="11" t="n">
        <v>30.4</v>
      </c>
      <c r="M250" s="11" t="n">
        <v>3.49</v>
      </c>
      <c r="N250" s="11" t="n">
        <v>2.33</v>
      </c>
      <c r="O250" s="13" t="n">
        <v>0.299</v>
      </c>
    </row>
    <row r="251" customFormat="false" ht="15" hidden="false" customHeight="false" outlineLevel="0" collapsed="false">
      <c r="A251" s="4" t="s">
        <v>315</v>
      </c>
      <c r="B251" s="4" t="s">
        <v>165</v>
      </c>
      <c r="C251" s="4" t="s">
        <v>316</v>
      </c>
      <c r="D251" s="5" t="n">
        <v>2</v>
      </c>
      <c r="E251" s="6" t="n">
        <v>5.45</v>
      </c>
      <c r="F251" s="7" t="n">
        <f aca="false">E251*6</f>
        <v>32.7</v>
      </c>
      <c r="G251" s="7" t="n">
        <f aca="false">E251*12</f>
        <v>65.4</v>
      </c>
      <c r="H251" s="6" t="n">
        <v>6.94</v>
      </c>
      <c r="I251" s="6" t="n">
        <v>103.8</v>
      </c>
      <c r="J251" s="6" t="n">
        <v>73.87</v>
      </c>
      <c r="K251" s="6" t="n">
        <v>20.76</v>
      </c>
      <c r="L251" s="6" t="n">
        <v>18.47</v>
      </c>
      <c r="M251" s="6" t="n">
        <v>3.87</v>
      </c>
      <c r="N251" s="6" t="n">
        <v>3.26</v>
      </c>
      <c r="O251" s="8" t="n">
        <v>0.353</v>
      </c>
    </row>
    <row r="252" customFormat="false" ht="15" hidden="false" customHeight="false" outlineLevel="0" collapsed="false">
      <c r="A252" s="9" t="s">
        <v>317</v>
      </c>
      <c r="B252" s="9" t="s">
        <v>165</v>
      </c>
      <c r="C252" s="9" t="s">
        <v>316</v>
      </c>
      <c r="D252" s="10" t="n">
        <v>2.5</v>
      </c>
      <c r="E252" s="11" t="n">
        <v>6.74</v>
      </c>
      <c r="F252" s="12" t="n">
        <f aca="false">E252*6</f>
        <v>40.44</v>
      </c>
      <c r="G252" s="12" t="n">
        <f aca="false">E252*12</f>
        <v>80.88</v>
      </c>
      <c r="H252" s="11" t="n">
        <v>8.59</v>
      </c>
      <c r="I252" s="11" t="n">
        <v>126.86</v>
      </c>
      <c r="J252" s="11" t="n">
        <v>90.17</v>
      </c>
      <c r="K252" s="11" t="n">
        <v>25.37</v>
      </c>
      <c r="L252" s="11" t="n">
        <v>22.54</v>
      </c>
      <c r="M252" s="11" t="n">
        <v>3.84</v>
      </c>
      <c r="N252" s="11" t="n">
        <v>3.24</v>
      </c>
      <c r="O252" s="13" t="n">
        <v>0.351</v>
      </c>
    </row>
    <row r="253" customFormat="false" ht="15" hidden="false" customHeight="false" outlineLevel="0" collapsed="false">
      <c r="A253" s="4" t="s">
        <v>318</v>
      </c>
      <c r="B253" s="4" t="s">
        <v>165</v>
      </c>
      <c r="C253" s="4" t="s">
        <v>316</v>
      </c>
      <c r="D253" s="5" t="n">
        <v>3</v>
      </c>
      <c r="E253" s="6" t="n">
        <v>8.01</v>
      </c>
      <c r="F253" s="7" t="n">
        <f aca="false">E253*6</f>
        <v>48.06</v>
      </c>
      <c r="G253" s="7" t="n">
        <f aca="false">E253*12</f>
        <v>96.12</v>
      </c>
      <c r="H253" s="6" t="n">
        <v>10.21</v>
      </c>
      <c r="I253" s="6" t="n">
        <v>148.81</v>
      </c>
      <c r="J253" s="6" t="n">
        <v>105.64</v>
      </c>
      <c r="K253" s="6" t="n">
        <v>29.76</v>
      </c>
      <c r="L253" s="6" t="n">
        <v>26.41</v>
      </c>
      <c r="M253" s="6" t="n">
        <v>3.82</v>
      </c>
      <c r="N253" s="6" t="n">
        <v>3.22</v>
      </c>
      <c r="O253" s="8" t="n">
        <v>0.35</v>
      </c>
    </row>
    <row r="254" customFormat="false" ht="15" hidden="false" customHeight="false" outlineLevel="0" collapsed="false">
      <c r="A254" s="9" t="s">
        <v>319</v>
      </c>
      <c r="B254" s="9" t="s">
        <v>165</v>
      </c>
      <c r="C254" s="9" t="s">
        <v>316</v>
      </c>
      <c r="D254" s="10" t="n">
        <v>4</v>
      </c>
      <c r="E254" s="11" t="n">
        <v>10.48</v>
      </c>
      <c r="F254" s="12" t="n">
        <f aca="false">E254*6</f>
        <v>62.88</v>
      </c>
      <c r="G254" s="12" t="n">
        <f aca="false">E254*12</f>
        <v>125.76</v>
      </c>
      <c r="H254" s="11" t="n">
        <v>13.35</v>
      </c>
      <c r="I254" s="11" t="n">
        <v>189.46</v>
      </c>
      <c r="J254" s="11" t="n">
        <v>134.16</v>
      </c>
      <c r="K254" s="11" t="n">
        <v>37.89</v>
      </c>
      <c r="L254" s="11" t="n">
        <v>33.54</v>
      </c>
      <c r="M254" s="11" t="n">
        <v>3.77</v>
      </c>
      <c r="N254" s="11" t="n">
        <v>3.17</v>
      </c>
      <c r="O254" s="13" t="n">
        <v>0.346</v>
      </c>
    </row>
    <row r="255" customFormat="false" ht="15" hidden="false" customHeight="false" outlineLevel="0" collapsed="false">
      <c r="A255" s="4" t="s">
        <v>320</v>
      </c>
      <c r="B255" s="4" t="s">
        <v>165</v>
      </c>
      <c r="C255" s="4" t="s">
        <v>316</v>
      </c>
      <c r="D255" s="5" t="n">
        <v>5</v>
      </c>
      <c r="E255" s="6" t="n">
        <v>12.84</v>
      </c>
      <c r="F255" s="7" t="n">
        <f aca="false">E255*6</f>
        <v>77.04</v>
      </c>
      <c r="G255" s="7" t="n">
        <f aca="false">E255*12</f>
        <v>154.08</v>
      </c>
      <c r="H255" s="6" t="n">
        <v>16.36</v>
      </c>
      <c r="I255" s="6" t="n">
        <v>225.92</v>
      </c>
      <c r="J255" s="6" t="n">
        <v>159.6</v>
      </c>
      <c r="K255" s="6" t="n">
        <v>45.18</v>
      </c>
      <c r="L255" s="6" t="n">
        <v>39.9</v>
      </c>
      <c r="M255" s="6" t="n">
        <v>3.72</v>
      </c>
      <c r="N255" s="6" t="n">
        <v>3.12</v>
      </c>
      <c r="O255" s="8" t="n">
        <v>0.343</v>
      </c>
    </row>
    <row r="256" customFormat="false" ht="15" hidden="false" customHeight="false" outlineLevel="0" collapsed="false">
      <c r="A256" s="9" t="s">
        <v>321</v>
      </c>
      <c r="B256" s="9" t="s">
        <v>165</v>
      </c>
      <c r="C256" s="9" t="s">
        <v>316</v>
      </c>
      <c r="D256" s="10" t="n">
        <v>6</v>
      </c>
      <c r="E256" s="11" t="n">
        <v>15.1</v>
      </c>
      <c r="F256" s="12" t="n">
        <f aca="false">E256*6</f>
        <v>90.6</v>
      </c>
      <c r="G256" s="12" t="n">
        <f aca="false">E256*12</f>
        <v>181.2</v>
      </c>
      <c r="H256" s="11" t="n">
        <v>19.23</v>
      </c>
      <c r="I256" s="11" t="n">
        <v>258.37</v>
      </c>
      <c r="J256" s="11" t="n">
        <v>182.09</v>
      </c>
      <c r="K256" s="11" t="n">
        <v>51.67</v>
      </c>
      <c r="L256" s="11" t="n">
        <v>45.52</v>
      </c>
      <c r="M256" s="11" t="n">
        <v>3.67</v>
      </c>
      <c r="N256" s="11" t="n">
        <v>3.08</v>
      </c>
      <c r="O256" s="13" t="n">
        <v>0.339</v>
      </c>
    </row>
    <row r="257" customFormat="false" ht="15" hidden="false" customHeight="false" outlineLevel="0" collapsed="false">
      <c r="A257" s="4" t="s">
        <v>322</v>
      </c>
      <c r="B257" s="4" t="s">
        <v>165</v>
      </c>
      <c r="C257" s="4" t="s">
        <v>323</v>
      </c>
      <c r="D257" s="5" t="n">
        <v>3</v>
      </c>
      <c r="E257" s="6" t="n">
        <v>7.07</v>
      </c>
      <c r="F257" s="7" t="n">
        <f aca="false">E257*6</f>
        <v>42.42</v>
      </c>
      <c r="G257" s="7" t="n">
        <f aca="false">E257*12</f>
        <v>84.84</v>
      </c>
      <c r="H257" s="6" t="n">
        <v>9.01</v>
      </c>
      <c r="I257" s="6" t="n">
        <v>148.04</v>
      </c>
      <c r="J257" s="6" t="n">
        <v>25.79</v>
      </c>
      <c r="K257" s="6" t="n">
        <v>24.67</v>
      </c>
      <c r="L257" s="6" t="n">
        <v>12.89</v>
      </c>
      <c r="M257" s="6" t="n">
        <v>4.05</v>
      </c>
      <c r="N257" s="6" t="n">
        <v>1.69</v>
      </c>
      <c r="O257" s="8" t="n">
        <v>0.31</v>
      </c>
    </row>
    <row r="258" customFormat="false" ht="15" hidden="false" customHeight="false" outlineLevel="0" collapsed="false">
      <c r="A258" s="9" t="s">
        <v>324</v>
      </c>
      <c r="B258" s="9" t="s">
        <v>165</v>
      </c>
      <c r="C258" s="9" t="s">
        <v>323</v>
      </c>
      <c r="D258" s="10" t="n">
        <v>4</v>
      </c>
      <c r="E258" s="11" t="n">
        <v>9.22</v>
      </c>
      <c r="F258" s="12" t="n">
        <f aca="false">E258*6</f>
        <v>55.32</v>
      </c>
      <c r="G258" s="12" t="n">
        <f aca="false">E258*12</f>
        <v>110.64</v>
      </c>
      <c r="H258" s="11" t="n">
        <v>11.75</v>
      </c>
      <c r="I258" s="11" t="n">
        <v>186.88</v>
      </c>
      <c r="J258" s="11" t="n">
        <v>31.89</v>
      </c>
      <c r="K258" s="11" t="n">
        <v>31.15</v>
      </c>
      <c r="L258" s="11" t="n">
        <v>15.95</v>
      </c>
      <c r="M258" s="11" t="n">
        <v>3.99</v>
      </c>
      <c r="N258" s="11" t="n">
        <v>1.65</v>
      </c>
      <c r="O258" s="13" t="n">
        <v>0.306</v>
      </c>
    </row>
    <row r="259" customFormat="false" ht="15" hidden="false" customHeight="false" outlineLevel="0" collapsed="false">
      <c r="A259" s="4" t="s">
        <v>325</v>
      </c>
      <c r="B259" s="4" t="s">
        <v>165</v>
      </c>
      <c r="C259" s="4" t="s">
        <v>323</v>
      </c>
      <c r="D259" s="5" t="n">
        <v>5</v>
      </c>
      <c r="E259" s="6" t="n">
        <v>11.27</v>
      </c>
      <c r="F259" s="7" t="n">
        <f aca="false">E259*6</f>
        <v>67.62</v>
      </c>
      <c r="G259" s="7" t="n">
        <f aca="false">E259*12</f>
        <v>135.24</v>
      </c>
      <c r="H259" s="6" t="n">
        <v>14.36</v>
      </c>
      <c r="I259" s="6" t="n">
        <v>220.79</v>
      </c>
      <c r="J259" s="6" t="n">
        <v>36.92</v>
      </c>
      <c r="K259" s="6" t="n">
        <v>36.8</v>
      </c>
      <c r="L259" s="6" t="n">
        <v>18.46</v>
      </c>
      <c r="M259" s="6" t="n">
        <v>3.92</v>
      </c>
      <c r="N259" s="6" t="n">
        <v>1.6</v>
      </c>
      <c r="O259" s="8" t="n">
        <v>0.303</v>
      </c>
    </row>
    <row r="260" customFormat="false" ht="15" hidden="false" customHeight="false" outlineLevel="0" collapsed="false">
      <c r="A260" s="9" t="s">
        <v>326</v>
      </c>
      <c r="B260" s="9" t="s">
        <v>165</v>
      </c>
      <c r="C260" s="9" t="s">
        <v>323</v>
      </c>
      <c r="D260" s="10" t="n">
        <v>6</v>
      </c>
      <c r="E260" s="11" t="n">
        <v>13.21</v>
      </c>
      <c r="F260" s="12" t="n">
        <f aca="false">E260*6</f>
        <v>79.26</v>
      </c>
      <c r="G260" s="12" t="n">
        <f aca="false">E260*12</f>
        <v>158.52</v>
      </c>
      <c r="H260" s="11" t="n">
        <v>16.83</v>
      </c>
      <c r="I260" s="11" t="n">
        <v>249.94</v>
      </c>
      <c r="J260" s="11" t="n">
        <v>40.97</v>
      </c>
      <c r="K260" s="11" t="n">
        <v>41.66</v>
      </c>
      <c r="L260" s="11" t="n">
        <v>20.48</v>
      </c>
      <c r="M260" s="11" t="n">
        <v>3.85</v>
      </c>
      <c r="N260" s="11" t="n">
        <v>1.56</v>
      </c>
      <c r="O260" s="13" t="n">
        <v>0.299</v>
      </c>
    </row>
    <row r="261" customFormat="false" ht="15" hidden="false" customHeight="false" outlineLevel="0" collapsed="false">
      <c r="A261" s="4" t="s">
        <v>327</v>
      </c>
      <c r="B261" s="4" t="s">
        <v>165</v>
      </c>
      <c r="C261" s="4" t="s">
        <v>323</v>
      </c>
      <c r="D261" s="5" t="n">
        <v>8</v>
      </c>
      <c r="E261" s="6" t="n">
        <v>16.36</v>
      </c>
      <c r="F261" s="7" t="n">
        <f aca="false">E261*6</f>
        <v>98.16</v>
      </c>
      <c r="G261" s="7" t="n">
        <f aca="false">E261*12</f>
        <v>196.32</v>
      </c>
      <c r="H261" s="6" t="n">
        <v>20.84</v>
      </c>
      <c r="I261" s="6" t="n">
        <v>274.72</v>
      </c>
      <c r="J261" s="6" t="n">
        <v>44.38</v>
      </c>
      <c r="K261" s="6" t="n">
        <v>45.79</v>
      </c>
      <c r="L261" s="6" t="n">
        <v>22.19</v>
      </c>
      <c r="M261" s="6" t="n">
        <v>3.63</v>
      </c>
      <c r="N261" s="6" t="n">
        <v>1.46</v>
      </c>
      <c r="O261" s="8" t="n">
        <v>0.286</v>
      </c>
    </row>
    <row r="262" customFormat="false" ht="15" hidden="false" customHeight="false" outlineLevel="0" collapsed="false">
      <c r="A262" s="9" t="s">
        <v>328</v>
      </c>
      <c r="B262" s="9" t="s">
        <v>165</v>
      </c>
      <c r="C262" s="9" t="s">
        <v>329</v>
      </c>
      <c r="D262" s="10" t="n">
        <v>3</v>
      </c>
      <c r="E262" s="11" t="n">
        <v>8.01</v>
      </c>
      <c r="F262" s="12" t="n">
        <f aca="false">E262*6</f>
        <v>48.06</v>
      </c>
      <c r="G262" s="12" t="n">
        <f aca="false">E262*12</f>
        <v>96.12</v>
      </c>
      <c r="H262" s="11" t="n">
        <v>10.21</v>
      </c>
      <c r="I262" s="11" t="n">
        <v>189.11</v>
      </c>
      <c r="J262" s="11" t="n">
        <v>64.4</v>
      </c>
      <c r="K262" s="11" t="n">
        <v>31.52</v>
      </c>
      <c r="L262" s="11" t="n">
        <v>21.47</v>
      </c>
      <c r="M262" s="11" t="n">
        <v>4.3</v>
      </c>
      <c r="N262" s="11" t="n">
        <v>2.51</v>
      </c>
      <c r="O262" s="13" t="n">
        <v>0.35</v>
      </c>
    </row>
    <row r="263" customFormat="false" ht="15" hidden="false" customHeight="false" outlineLevel="0" collapsed="false">
      <c r="A263" s="4" t="s">
        <v>330</v>
      </c>
      <c r="B263" s="4" t="s">
        <v>165</v>
      </c>
      <c r="C263" s="4" t="s">
        <v>329</v>
      </c>
      <c r="D263" s="5" t="n">
        <v>4</v>
      </c>
      <c r="E263" s="6" t="n">
        <v>10.48</v>
      </c>
      <c r="F263" s="7" t="n">
        <f aca="false">E263*6</f>
        <v>62.88</v>
      </c>
      <c r="G263" s="7" t="n">
        <f aca="false">E263*12</f>
        <v>125.76</v>
      </c>
      <c r="H263" s="6" t="n">
        <v>13.35</v>
      </c>
      <c r="I263" s="6" t="n">
        <v>240.73</v>
      </c>
      <c r="J263" s="6" t="n">
        <v>81.24</v>
      </c>
      <c r="K263" s="6" t="n">
        <v>40.12</v>
      </c>
      <c r="L263" s="6" t="n">
        <v>27.08</v>
      </c>
      <c r="M263" s="6" t="n">
        <v>4.25</v>
      </c>
      <c r="N263" s="6" t="n">
        <v>2.47</v>
      </c>
      <c r="O263" s="8" t="n">
        <v>0.346</v>
      </c>
    </row>
    <row r="264" customFormat="false" ht="15" hidden="false" customHeight="false" outlineLevel="0" collapsed="false">
      <c r="A264" s="9" t="s">
        <v>331</v>
      </c>
      <c r="B264" s="9" t="s">
        <v>165</v>
      </c>
      <c r="C264" s="9" t="s">
        <v>329</v>
      </c>
      <c r="D264" s="10" t="n">
        <v>5</v>
      </c>
      <c r="E264" s="11" t="n">
        <v>12.84</v>
      </c>
      <c r="F264" s="12" t="n">
        <f aca="false">E264*6</f>
        <v>77.04</v>
      </c>
      <c r="G264" s="12" t="n">
        <f aca="false">E264*12</f>
        <v>154.08</v>
      </c>
      <c r="H264" s="11" t="n">
        <v>16.36</v>
      </c>
      <c r="I264" s="11" t="n">
        <v>286.95</v>
      </c>
      <c r="J264" s="11" t="n">
        <v>95.99</v>
      </c>
      <c r="K264" s="11" t="n">
        <v>47.83</v>
      </c>
      <c r="L264" s="11" t="n">
        <v>32</v>
      </c>
      <c r="M264" s="11" t="n">
        <v>4.19</v>
      </c>
      <c r="N264" s="11" t="n">
        <v>2.42</v>
      </c>
      <c r="O264" s="13" t="n">
        <v>0.343</v>
      </c>
    </row>
    <row r="265" customFormat="false" ht="15" hidden="false" customHeight="false" outlineLevel="0" collapsed="false">
      <c r="A265" s="4" t="s">
        <v>332</v>
      </c>
      <c r="B265" s="4" t="s">
        <v>165</v>
      </c>
      <c r="C265" s="4" t="s">
        <v>329</v>
      </c>
      <c r="D265" s="5" t="n">
        <v>6</v>
      </c>
      <c r="E265" s="6" t="n">
        <v>15.1</v>
      </c>
      <c r="F265" s="7" t="n">
        <f aca="false">E265*6</f>
        <v>90.6</v>
      </c>
      <c r="G265" s="7" t="n">
        <f aca="false">E265*12</f>
        <v>181.2</v>
      </c>
      <c r="H265" s="6" t="n">
        <v>19.23</v>
      </c>
      <c r="I265" s="6" t="n">
        <v>327.98</v>
      </c>
      <c r="J265" s="6" t="n">
        <v>108.76</v>
      </c>
      <c r="K265" s="6" t="n">
        <v>54.66</v>
      </c>
      <c r="L265" s="6" t="n">
        <v>36.25</v>
      </c>
      <c r="M265" s="6" t="n">
        <v>4.13</v>
      </c>
      <c r="N265" s="6" t="n">
        <v>2.38</v>
      </c>
      <c r="O265" s="8" t="n">
        <v>0.339</v>
      </c>
    </row>
    <row r="266" customFormat="false" ht="15" hidden="false" customHeight="false" outlineLevel="0" collapsed="false">
      <c r="A266" s="9" t="s">
        <v>333</v>
      </c>
      <c r="B266" s="9" t="s">
        <v>165</v>
      </c>
      <c r="C266" s="9" t="s">
        <v>329</v>
      </c>
      <c r="D266" s="10" t="n">
        <v>8</v>
      </c>
      <c r="E266" s="11" t="n">
        <v>18.87</v>
      </c>
      <c r="F266" s="12" t="n">
        <f aca="false">E266*6</f>
        <v>113.22</v>
      </c>
      <c r="G266" s="12" t="n">
        <f aca="false">E266*12</f>
        <v>226.44</v>
      </c>
      <c r="H266" s="11" t="n">
        <v>24.04</v>
      </c>
      <c r="I266" s="11" t="n">
        <v>375.24</v>
      </c>
      <c r="J266" s="11" t="n">
        <v>123.97</v>
      </c>
      <c r="K266" s="11" t="n">
        <v>62.54</v>
      </c>
      <c r="L266" s="11" t="n">
        <v>41.32</v>
      </c>
      <c r="M266" s="11" t="n">
        <v>3.95</v>
      </c>
      <c r="N266" s="11" t="n">
        <v>2.27</v>
      </c>
      <c r="O266" s="13" t="n">
        <v>0.326</v>
      </c>
    </row>
    <row r="267" customFormat="false" ht="15" hidden="false" customHeight="false" outlineLevel="0" collapsed="false">
      <c r="A267" s="4" t="s">
        <v>334</v>
      </c>
      <c r="B267" s="4" t="s">
        <v>165</v>
      </c>
      <c r="C267" s="4" t="s">
        <v>335</v>
      </c>
      <c r="D267" s="5" t="n">
        <v>3</v>
      </c>
      <c r="E267" s="6" t="n">
        <v>8.96</v>
      </c>
      <c r="F267" s="7" t="n">
        <f aca="false">E267*6</f>
        <v>53.76</v>
      </c>
      <c r="G267" s="7" t="n">
        <f aca="false">E267*12</f>
        <v>107.52</v>
      </c>
      <c r="H267" s="6" t="n">
        <v>11.41</v>
      </c>
      <c r="I267" s="6" t="n">
        <v>230.19</v>
      </c>
      <c r="J267" s="6" t="n">
        <v>123.43</v>
      </c>
      <c r="K267" s="6" t="n">
        <v>38.36</v>
      </c>
      <c r="L267" s="6" t="n">
        <v>30.86</v>
      </c>
      <c r="M267" s="6" t="n">
        <v>4.49</v>
      </c>
      <c r="N267" s="6" t="n">
        <v>3.29</v>
      </c>
      <c r="O267" s="8" t="n">
        <v>0.39</v>
      </c>
    </row>
    <row r="268" customFormat="false" ht="15" hidden="false" customHeight="false" outlineLevel="0" collapsed="false">
      <c r="A268" s="9" t="s">
        <v>336</v>
      </c>
      <c r="B268" s="9" t="s">
        <v>165</v>
      </c>
      <c r="C268" s="9" t="s">
        <v>335</v>
      </c>
      <c r="D268" s="10" t="n">
        <v>4</v>
      </c>
      <c r="E268" s="11" t="n">
        <v>11.73</v>
      </c>
      <c r="F268" s="12" t="n">
        <f aca="false">E268*6</f>
        <v>70.38</v>
      </c>
      <c r="G268" s="12" t="n">
        <f aca="false">E268*12</f>
        <v>140.76</v>
      </c>
      <c r="H268" s="11" t="n">
        <v>14.95</v>
      </c>
      <c r="I268" s="11" t="n">
        <v>294.57</v>
      </c>
      <c r="J268" s="11" t="n">
        <v>157.29</v>
      </c>
      <c r="K268" s="11" t="n">
        <v>49.1</v>
      </c>
      <c r="L268" s="11" t="n">
        <v>39.32</v>
      </c>
      <c r="M268" s="11" t="n">
        <v>4.44</v>
      </c>
      <c r="N268" s="11" t="n">
        <v>3.24</v>
      </c>
      <c r="O268" s="13" t="n">
        <v>0.386</v>
      </c>
    </row>
    <row r="269" customFormat="false" ht="15" hidden="false" customHeight="false" outlineLevel="0" collapsed="false">
      <c r="A269" s="4" t="s">
        <v>337</v>
      </c>
      <c r="B269" s="4" t="s">
        <v>165</v>
      </c>
      <c r="C269" s="4" t="s">
        <v>335</v>
      </c>
      <c r="D269" s="5" t="n">
        <v>5</v>
      </c>
      <c r="E269" s="6" t="n">
        <v>14.41</v>
      </c>
      <c r="F269" s="7" t="n">
        <f aca="false">E269*6</f>
        <v>86.46</v>
      </c>
      <c r="G269" s="7" t="n">
        <f aca="false">E269*12</f>
        <v>172.92</v>
      </c>
      <c r="H269" s="6" t="n">
        <v>18.36</v>
      </c>
      <c r="I269" s="6" t="n">
        <v>353.12</v>
      </c>
      <c r="J269" s="6" t="n">
        <v>187.77</v>
      </c>
      <c r="K269" s="6" t="n">
        <v>58.85</v>
      </c>
      <c r="L269" s="6" t="n">
        <v>46.94</v>
      </c>
      <c r="M269" s="6" t="n">
        <v>4.39</v>
      </c>
      <c r="N269" s="6" t="n">
        <v>3.2</v>
      </c>
      <c r="O269" s="8" t="n">
        <v>0.383</v>
      </c>
    </row>
    <row r="270" customFormat="false" ht="15" hidden="false" customHeight="false" outlineLevel="0" collapsed="false">
      <c r="A270" s="9" t="s">
        <v>338</v>
      </c>
      <c r="B270" s="9" t="s">
        <v>165</v>
      </c>
      <c r="C270" s="9" t="s">
        <v>335</v>
      </c>
      <c r="D270" s="10" t="n">
        <v>6</v>
      </c>
      <c r="E270" s="11" t="n">
        <v>16.98</v>
      </c>
      <c r="F270" s="12" t="n">
        <f aca="false">E270*6</f>
        <v>101.88</v>
      </c>
      <c r="G270" s="12" t="n">
        <f aca="false">E270*12</f>
        <v>203.76</v>
      </c>
      <c r="H270" s="11" t="n">
        <v>21.63</v>
      </c>
      <c r="I270" s="11" t="n">
        <v>406.03</v>
      </c>
      <c r="J270" s="11" t="n">
        <v>215.02</v>
      </c>
      <c r="K270" s="11" t="n">
        <v>67.67</v>
      </c>
      <c r="L270" s="11" t="n">
        <v>53.76</v>
      </c>
      <c r="M270" s="11" t="n">
        <v>4.33</v>
      </c>
      <c r="N270" s="11" t="n">
        <v>3.15</v>
      </c>
      <c r="O270" s="13" t="n">
        <v>0.379</v>
      </c>
    </row>
    <row r="271" customFormat="false" ht="15" hidden="false" customHeight="false" outlineLevel="0" collapsed="false">
      <c r="A271" s="4" t="s">
        <v>339</v>
      </c>
      <c r="B271" s="4" t="s">
        <v>165</v>
      </c>
      <c r="C271" s="4" t="s">
        <v>335</v>
      </c>
      <c r="D271" s="5" t="n">
        <v>8</v>
      </c>
      <c r="E271" s="6" t="n">
        <v>21.38</v>
      </c>
      <c r="F271" s="7" t="n">
        <f aca="false">E271*6</f>
        <v>128.28</v>
      </c>
      <c r="G271" s="7" t="n">
        <f aca="false">E271*12</f>
        <v>256.56</v>
      </c>
      <c r="H271" s="6" t="n">
        <v>27.24</v>
      </c>
      <c r="I271" s="6" t="n">
        <v>475.77</v>
      </c>
      <c r="J271" s="6" t="n">
        <v>251.64</v>
      </c>
      <c r="K271" s="6" t="n">
        <v>79.29</v>
      </c>
      <c r="L271" s="6" t="n">
        <v>62.91</v>
      </c>
      <c r="M271" s="6" t="n">
        <v>4.18</v>
      </c>
      <c r="N271" s="6" t="n">
        <v>3.04</v>
      </c>
      <c r="O271" s="8" t="n">
        <v>0.366</v>
      </c>
    </row>
    <row r="272" customFormat="false" ht="15" hidden="false" customHeight="false" outlineLevel="0" collapsed="false">
      <c r="A272" s="9" t="s">
        <v>340</v>
      </c>
      <c r="B272" s="9" t="s">
        <v>165</v>
      </c>
      <c r="C272" s="9" t="s">
        <v>341</v>
      </c>
      <c r="D272" s="10" t="n">
        <v>3</v>
      </c>
      <c r="E272" s="11" t="n">
        <v>8.96</v>
      </c>
      <c r="F272" s="12" t="n">
        <f aca="false">E272*6</f>
        <v>53.76</v>
      </c>
      <c r="G272" s="12" t="n">
        <f aca="false">E272*12</f>
        <v>107.52</v>
      </c>
      <c r="H272" s="11" t="n">
        <v>11.41</v>
      </c>
      <c r="I272" s="11" t="n">
        <v>278.07</v>
      </c>
      <c r="J272" s="11" t="n">
        <v>74.16</v>
      </c>
      <c r="K272" s="11" t="n">
        <v>39.72</v>
      </c>
      <c r="L272" s="11" t="n">
        <v>24.72</v>
      </c>
      <c r="M272" s="11" t="n">
        <v>4.94</v>
      </c>
      <c r="N272" s="11" t="n">
        <v>2.55</v>
      </c>
      <c r="O272" s="13" t="n">
        <v>0.39</v>
      </c>
    </row>
    <row r="273" customFormat="false" ht="15" hidden="false" customHeight="false" outlineLevel="0" collapsed="false">
      <c r="A273" s="4" t="s">
        <v>342</v>
      </c>
      <c r="B273" s="4" t="s">
        <v>165</v>
      </c>
      <c r="C273" s="4" t="s">
        <v>341</v>
      </c>
      <c r="D273" s="5" t="n">
        <v>4</v>
      </c>
      <c r="E273" s="6" t="n">
        <v>11.73</v>
      </c>
      <c r="F273" s="7" t="n">
        <f aca="false">E273*6</f>
        <v>70.38</v>
      </c>
      <c r="G273" s="7" t="n">
        <f aca="false">E273*12</f>
        <v>140.76</v>
      </c>
      <c r="H273" s="6" t="n">
        <v>14.95</v>
      </c>
      <c r="I273" s="6" t="n">
        <v>355.58</v>
      </c>
      <c r="J273" s="6" t="n">
        <v>93.81</v>
      </c>
      <c r="K273" s="6" t="n">
        <v>50.8</v>
      </c>
      <c r="L273" s="6" t="n">
        <v>31.27</v>
      </c>
      <c r="M273" s="6" t="n">
        <v>4.88</v>
      </c>
      <c r="N273" s="6" t="n">
        <v>2.51</v>
      </c>
      <c r="O273" s="8" t="n">
        <v>0.386</v>
      </c>
    </row>
    <row r="274" customFormat="false" ht="15" hidden="false" customHeight="false" outlineLevel="0" collapsed="false">
      <c r="A274" s="9" t="s">
        <v>343</v>
      </c>
      <c r="B274" s="9" t="s">
        <v>165</v>
      </c>
      <c r="C274" s="9" t="s">
        <v>341</v>
      </c>
      <c r="D274" s="10" t="n">
        <v>5</v>
      </c>
      <c r="E274" s="11" t="n">
        <v>14.41</v>
      </c>
      <c r="F274" s="12" t="n">
        <f aca="false">E274*6</f>
        <v>86.46</v>
      </c>
      <c r="G274" s="12" t="n">
        <f aca="false">E274*12</f>
        <v>172.92</v>
      </c>
      <c r="H274" s="11" t="n">
        <v>18.36</v>
      </c>
      <c r="I274" s="11" t="n">
        <v>425.87</v>
      </c>
      <c r="J274" s="11" t="n">
        <v>111.16</v>
      </c>
      <c r="K274" s="11" t="n">
        <v>60.84</v>
      </c>
      <c r="L274" s="11" t="n">
        <v>37.05</v>
      </c>
      <c r="M274" s="11" t="n">
        <v>4.82</v>
      </c>
      <c r="N274" s="11" t="n">
        <v>2.46</v>
      </c>
      <c r="O274" s="13" t="n">
        <v>0.383</v>
      </c>
    </row>
    <row r="275" customFormat="false" ht="15" hidden="false" customHeight="false" outlineLevel="0" collapsed="false">
      <c r="A275" s="4" t="s">
        <v>344</v>
      </c>
      <c r="B275" s="4" t="s">
        <v>165</v>
      </c>
      <c r="C275" s="4" t="s">
        <v>341</v>
      </c>
      <c r="D275" s="5" t="n">
        <v>6</v>
      </c>
      <c r="E275" s="6" t="n">
        <v>16.98</v>
      </c>
      <c r="F275" s="7" t="n">
        <f aca="false">E275*6</f>
        <v>101.88</v>
      </c>
      <c r="G275" s="7" t="n">
        <f aca="false">E275*12</f>
        <v>203.76</v>
      </c>
      <c r="H275" s="6" t="n">
        <v>21.63</v>
      </c>
      <c r="I275" s="6" t="n">
        <v>489.16</v>
      </c>
      <c r="J275" s="6" t="n">
        <v>126.33</v>
      </c>
      <c r="K275" s="6" t="n">
        <v>69.88</v>
      </c>
      <c r="L275" s="6" t="n">
        <v>42.11</v>
      </c>
      <c r="M275" s="6" t="n">
        <v>4.76</v>
      </c>
      <c r="N275" s="6" t="n">
        <v>2.42</v>
      </c>
      <c r="O275" s="8" t="n">
        <v>0.379</v>
      </c>
    </row>
    <row r="276" customFormat="false" ht="15" hidden="false" customHeight="false" outlineLevel="0" collapsed="false">
      <c r="A276" s="9" t="s">
        <v>345</v>
      </c>
      <c r="B276" s="9" t="s">
        <v>165</v>
      </c>
      <c r="C276" s="9" t="s">
        <v>341</v>
      </c>
      <c r="D276" s="10" t="n">
        <v>8</v>
      </c>
      <c r="E276" s="11" t="n">
        <v>21.38</v>
      </c>
      <c r="F276" s="12" t="n">
        <f aca="false">E276*6</f>
        <v>128.28</v>
      </c>
      <c r="G276" s="12" t="n">
        <f aca="false">E276*12</f>
        <v>256.56</v>
      </c>
      <c r="H276" s="11" t="n">
        <v>27.24</v>
      </c>
      <c r="I276" s="11" t="n">
        <v>568.43</v>
      </c>
      <c r="J276" s="11" t="n">
        <v>145.77</v>
      </c>
      <c r="K276" s="11" t="n">
        <v>81.2</v>
      </c>
      <c r="L276" s="11" t="n">
        <v>48.59</v>
      </c>
      <c r="M276" s="11" t="n">
        <v>4.57</v>
      </c>
      <c r="N276" s="11" t="n">
        <v>2.31</v>
      </c>
      <c r="O276" s="13" t="n">
        <v>0.366</v>
      </c>
    </row>
    <row r="277" customFormat="false" ht="15" hidden="false" customHeight="false" outlineLevel="0" collapsed="false">
      <c r="A277" s="4" t="s">
        <v>346</v>
      </c>
      <c r="B277" s="4" t="s">
        <v>165</v>
      </c>
      <c r="C277" s="4" t="s">
        <v>347</v>
      </c>
      <c r="D277" s="5" t="n">
        <v>3</v>
      </c>
      <c r="E277" s="6" t="n">
        <v>9.9</v>
      </c>
      <c r="F277" s="7" t="n">
        <f aca="false">E277*6</f>
        <v>59.4</v>
      </c>
      <c r="G277" s="7" t="n">
        <f aca="false">E277*12</f>
        <v>118.8</v>
      </c>
      <c r="H277" s="6" t="n">
        <v>12.61</v>
      </c>
      <c r="I277" s="6" t="n">
        <v>334.39</v>
      </c>
      <c r="J277" s="6" t="n">
        <v>141.23</v>
      </c>
      <c r="K277" s="6" t="n">
        <v>47.77</v>
      </c>
      <c r="L277" s="6" t="n">
        <v>35.31</v>
      </c>
      <c r="M277" s="6" t="n">
        <v>5.15</v>
      </c>
      <c r="N277" s="6" t="n">
        <v>3.35</v>
      </c>
      <c r="O277" s="8" t="n">
        <v>0.43</v>
      </c>
    </row>
    <row r="278" customFormat="false" ht="15" hidden="false" customHeight="false" outlineLevel="0" collapsed="false">
      <c r="A278" s="9" t="s">
        <v>348</v>
      </c>
      <c r="B278" s="9" t="s">
        <v>165</v>
      </c>
      <c r="C278" s="9" t="s">
        <v>347</v>
      </c>
      <c r="D278" s="10" t="n">
        <v>4</v>
      </c>
      <c r="E278" s="11" t="n">
        <v>12.99</v>
      </c>
      <c r="F278" s="12" t="n">
        <f aca="false">E278*6</f>
        <v>77.94</v>
      </c>
      <c r="G278" s="12" t="n">
        <f aca="false">E278*12</f>
        <v>155.88</v>
      </c>
      <c r="H278" s="11" t="n">
        <v>16.55</v>
      </c>
      <c r="I278" s="11" t="n">
        <v>429.58</v>
      </c>
      <c r="J278" s="11" t="n">
        <v>180.41</v>
      </c>
      <c r="K278" s="11" t="n">
        <v>61.37</v>
      </c>
      <c r="L278" s="11" t="n">
        <v>45.1</v>
      </c>
      <c r="M278" s="11" t="n">
        <v>5.1</v>
      </c>
      <c r="N278" s="11" t="n">
        <v>3.3</v>
      </c>
      <c r="O278" s="13" t="n">
        <v>0.426</v>
      </c>
    </row>
    <row r="279" customFormat="false" ht="15" hidden="false" customHeight="false" outlineLevel="0" collapsed="false">
      <c r="A279" s="4" t="s">
        <v>349</v>
      </c>
      <c r="B279" s="4" t="s">
        <v>165</v>
      </c>
      <c r="C279" s="4" t="s">
        <v>347</v>
      </c>
      <c r="D279" s="5" t="n">
        <v>5</v>
      </c>
      <c r="E279" s="6" t="n">
        <v>15.98</v>
      </c>
      <c r="F279" s="7" t="n">
        <f aca="false">E279*6</f>
        <v>95.88</v>
      </c>
      <c r="G279" s="7" t="n">
        <f aca="false">E279*12</f>
        <v>191.76</v>
      </c>
      <c r="H279" s="6" t="n">
        <v>20.36</v>
      </c>
      <c r="I279" s="6" t="n">
        <v>517.03</v>
      </c>
      <c r="J279" s="6" t="n">
        <v>215.93</v>
      </c>
      <c r="K279" s="6" t="n">
        <v>73.86</v>
      </c>
      <c r="L279" s="6" t="n">
        <v>53.98</v>
      </c>
      <c r="M279" s="6" t="n">
        <v>5.04</v>
      </c>
      <c r="N279" s="6" t="n">
        <v>3.26</v>
      </c>
      <c r="O279" s="8" t="n">
        <v>0.423</v>
      </c>
    </row>
    <row r="280" customFormat="false" ht="15" hidden="false" customHeight="false" outlineLevel="0" collapsed="false">
      <c r="A280" s="9" t="s">
        <v>350</v>
      </c>
      <c r="B280" s="9" t="s">
        <v>165</v>
      </c>
      <c r="C280" s="9" t="s">
        <v>347</v>
      </c>
      <c r="D280" s="10" t="n">
        <v>6</v>
      </c>
      <c r="E280" s="11" t="n">
        <v>18.87</v>
      </c>
      <c r="F280" s="12" t="n">
        <f aca="false">E280*6</f>
        <v>113.22</v>
      </c>
      <c r="G280" s="12" t="n">
        <f aca="false">E280*12</f>
        <v>226.44</v>
      </c>
      <c r="H280" s="11" t="n">
        <v>24.03</v>
      </c>
      <c r="I280" s="11" t="n">
        <v>596.96</v>
      </c>
      <c r="J280" s="11" t="n">
        <v>247.95</v>
      </c>
      <c r="K280" s="11" t="n">
        <v>85.28</v>
      </c>
      <c r="L280" s="11" t="n">
        <v>61.99</v>
      </c>
      <c r="M280" s="11" t="n">
        <v>4.98</v>
      </c>
      <c r="N280" s="11" t="n">
        <v>3.21</v>
      </c>
      <c r="O280" s="13" t="n">
        <v>0.419</v>
      </c>
    </row>
    <row r="281" customFormat="false" ht="15" hidden="false" customHeight="false" outlineLevel="0" collapsed="false">
      <c r="A281" s="4" t="s">
        <v>351</v>
      </c>
      <c r="B281" s="4" t="s">
        <v>165</v>
      </c>
      <c r="C281" s="4" t="s">
        <v>347</v>
      </c>
      <c r="D281" s="5" t="n">
        <v>8</v>
      </c>
      <c r="E281" s="6" t="n">
        <v>23.9</v>
      </c>
      <c r="F281" s="7" t="n">
        <f aca="false">E281*6</f>
        <v>143.4</v>
      </c>
      <c r="G281" s="7" t="n">
        <f aca="false">E281*12</f>
        <v>286.8</v>
      </c>
      <c r="H281" s="6" t="n">
        <v>30.44</v>
      </c>
      <c r="I281" s="6" t="n">
        <v>708</v>
      </c>
      <c r="J281" s="6" t="n">
        <v>293.28</v>
      </c>
      <c r="K281" s="6" t="n">
        <v>101.14</v>
      </c>
      <c r="L281" s="6" t="n">
        <v>73.32</v>
      </c>
      <c r="M281" s="6" t="n">
        <v>4.82</v>
      </c>
      <c r="N281" s="6" t="n">
        <v>3.1</v>
      </c>
      <c r="O281" s="8" t="n">
        <v>0.406</v>
      </c>
    </row>
    <row r="282" customFormat="false" ht="15" hidden="false" customHeight="false" outlineLevel="0" collapsed="false">
      <c r="A282" s="9" t="s">
        <v>352</v>
      </c>
      <c r="B282" s="9" t="s">
        <v>165</v>
      </c>
      <c r="C282" s="9" t="s">
        <v>353</v>
      </c>
      <c r="D282" s="10" t="n">
        <v>3</v>
      </c>
      <c r="E282" s="11" t="n">
        <v>8.96</v>
      </c>
      <c r="F282" s="12" t="n">
        <f aca="false">E282*6</f>
        <v>53.76</v>
      </c>
      <c r="G282" s="12" t="n">
        <f aca="false">E282*12</f>
        <v>107.52</v>
      </c>
      <c r="H282" s="11" t="n">
        <v>11.41</v>
      </c>
      <c r="I282" s="11" t="n">
        <v>298.54</v>
      </c>
      <c r="J282" s="11" t="n">
        <v>52.65</v>
      </c>
      <c r="K282" s="11" t="n">
        <v>39.8</v>
      </c>
      <c r="L282" s="11" t="n">
        <v>21.06</v>
      </c>
      <c r="M282" s="11" t="n">
        <v>5.12</v>
      </c>
      <c r="N282" s="11" t="n">
        <v>2.15</v>
      </c>
      <c r="O282" s="13" t="n">
        <v>0.39</v>
      </c>
    </row>
    <row r="283" customFormat="false" ht="15" hidden="false" customHeight="false" outlineLevel="0" collapsed="false">
      <c r="A283" s="4" t="s">
        <v>354</v>
      </c>
      <c r="B283" s="4" t="s">
        <v>165</v>
      </c>
      <c r="C283" s="4" t="s">
        <v>353</v>
      </c>
      <c r="D283" s="5" t="n">
        <v>4</v>
      </c>
      <c r="E283" s="6" t="n">
        <v>11.73</v>
      </c>
      <c r="F283" s="7" t="n">
        <f aca="false">E283*6</f>
        <v>70.38</v>
      </c>
      <c r="G283" s="7" t="n">
        <f aca="false">E283*12</f>
        <v>140.76</v>
      </c>
      <c r="H283" s="6" t="n">
        <v>14.95</v>
      </c>
      <c r="I283" s="6" t="n">
        <v>381.37</v>
      </c>
      <c r="J283" s="6" t="n">
        <v>66.16</v>
      </c>
      <c r="K283" s="6" t="n">
        <v>50.85</v>
      </c>
      <c r="L283" s="6" t="n">
        <v>26.46</v>
      </c>
      <c r="M283" s="6" t="n">
        <v>5.05</v>
      </c>
      <c r="N283" s="6" t="n">
        <v>2.1</v>
      </c>
      <c r="O283" s="8" t="n">
        <v>0.386</v>
      </c>
    </row>
    <row r="284" customFormat="false" ht="15" hidden="false" customHeight="false" outlineLevel="0" collapsed="false">
      <c r="A284" s="9" t="s">
        <v>355</v>
      </c>
      <c r="B284" s="9" t="s">
        <v>165</v>
      </c>
      <c r="C284" s="9" t="s">
        <v>353</v>
      </c>
      <c r="D284" s="10" t="n">
        <v>5</v>
      </c>
      <c r="E284" s="11" t="n">
        <v>14.41</v>
      </c>
      <c r="F284" s="12" t="n">
        <f aca="false">E284*6</f>
        <v>86.46</v>
      </c>
      <c r="G284" s="12" t="n">
        <f aca="false">E284*12</f>
        <v>172.92</v>
      </c>
      <c r="H284" s="11" t="n">
        <v>18.36</v>
      </c>
      <c r="I284" s="11" t="n">
        <v>456.25</v>
      </c>
      <c r="J284" s="11" t="n">
        <v>77.87</v>
      </c>
      <c r="K284" s="11" t="n">
        <v>60.83</v>
      </c>
      <c r="L284" s="11" t="n">
        <v>31.15</v>
      </c>
      <c r="M284" s="11" t="n">
        <v>4.99</v>
      </c>
      <c r="N284" s="11" t="n">
        <v>2.06</v>
      </c>
      <c r="O284" s="13" t="n">
        <v>0.383</v>
      </c>
    </row>
    <row r="285" customFormat="false" ht="15" hidden="false" customHeight="false" outlineLevel="0" collapsed="false">
      <c r="A285" s="4" t="s">
        <v>356</v>
      </c>
      <c r="B285" s="4" t="s">
        <v>165</v>
      </c>
      <c r="C285" s="4" t="s">
        <v>353</v>
      </c>
      <c r="D285" s="5" t="n">
        <v>6</v>
      </c>
      <c r="E285" s="6" t="n">
        <v>16.98</v>
      </c>
      <c r="F285" s="7" t="n">
        <f aca="false">E285*6</f>
        <v>101.88</v>
      </c>
      <c r="G285" s="7" t="n">
        <f aca="false">E285*12</f>
        <v>203.76</v>
      </c>
      <c r="H285" s="6" t="n">
        <v>21.63</v>
      </c>
      <c r="I285" s="6" t="n">
        <v>523.42</v>
      </c>
      <c r="J285" s="6" t="n">
        <v>87.89</v>
      </c>
      <c r="K285" s="6" t="n">
        <v>69.79</v>
      </c>
      <c r="L285" s="6" t="n">
        <v>35.16</v>
      </c>
      <c r="M285" s="6" t="n">
        <v>4.92</v>
      </c>
      <c r="N285" s="6" t="n">
        <v>2.02</v>
      </c>
      <c r="O285" s="8" t="n">
        <v>0.379</v>
      </c>
    </row>
    <row r="286" customFormat="false" ht="15" hidden="false" customHeight="false" outlineLevel="0" collapsed="false">
      <c r="A286" s="9" t="s">
        <v>357</v>
      </c>
      <c r="B286" s="9" t="s">
        <v>165</v>
      </c>
      <c r="C286" s="9" t="s">
        <v>353</v>
      </c>
      <c r="D286" s="10" t="n">
        <v>8</v>
      </c>
      <c r="E286" s="11" t="n">
        <v>21.38</v>
      </c>
      <c r="F286" s="12" t="n">
        <f aca="false">E286*6</f>
        <v>128.28</v>
      </c>
      <c r="G286" s="12" t="n">
        <f aca="false">E286*12</f>
        <v>256.56</v>
      </c>
      <c r="H286" s="11" t="n">
        <v>27.24</v>
      </c>
      <c r="I286" s="11" t="n">
        <v>604.32</v>
      </c>
      <c r="J286" s="11" t="n">
        <v>99.99</v>
      </c>
      <c r="K286" s="11" t="n">
        <v>80.58</v>
      </c>
      <c r="L286" s="11" t="n">
        <v>40</v>
      </c>
      <c r="M286" s="11" t="n">
        <v>4.71</v>
      </c>
      <c r="N286" s="11" t="n">
        <v>1.92</v>
      </c>
      <c r="O286" s="13" t="n">
        <v>0.366</v>
      </c>
    </row>
    <row r="287" customFormat="false" ht="15" hidden="false" customHeight="false" outlineLevel="0" collapsed="false">
      <c r="A287" s="4" t="s">
        <v>358</v>
      </c>
      <c r="B287" s="4" t="s">
        <v>165</v>
      </c>
      <c r="C287" s="4" t="s">
        <v>359</v>
      </c>
      <c r="D287" s="5" t="n">
        <v>3</v>
      </c>
      <c r="E287" s="6" t="n">
        <v>11.31</v>
      </c>
      <c r="F287" s="7" t="n">
        <f aca="false">E287*6</f>
        <v>67.86</v>
      </c>
      <c r="G287" s="7" t="n">
        <f aca="false">E287*12</f>
        <v>135.72</v>
      </c>
      <c r="H287" s="6" t="n">
        <v>14.41</v>
      </c>
      <c r="I287" s="6" t="n">
        <v>460.63</v>
      </c>
      <c r="J287" s="6" t="n">
        <v>247.63</v>
      </c>
      <c r="K287" s="6" t="n">
        <v>61.42</v>
      </c>
      <c r="L287" s="6" t="n">
        <v>49.53</v>
      </c>
      <c r="M287" s="6" t="n">
        <v>5.65</v>
      </c>
      <c r="N287" s="6" t="n">
        <v>4.15</v>
      </c>
      <c r="O287" s="8" t="n">
        <v>0.49</v>
      </c>
    </row>
    <row r="288" customFormat="false" ht="15" hidden="false" customHeight="false" outlineLevel="0" collapsed="false">
      <c r="A288" s="9" t="s">
        <v>360</v>
      </c>
      <c r="B288" s="9" t="s">
        <v>165</v>
      </c>
      <c r="C288" s="9" t="s">
        <v>359</v>
      </c>
      <c r="D288" s="10" t="n">
        <v>4</v>
      </c>
      <c r="E288" s="11" t="n">
        <v>14.87</v>
      </c>
      <c r="F288" s="12" t="n">
        <f aca="false">E288*6</f>
        <v>89.22</v>
      </c>
      <c r="G288" s="12" t="n">
        <f aca="false">E288*12</f>
        <v>178.44</v>
      </c>
      <c r="H288" s="11" t="n">
        <v>18.95</v>
      </c>
      <c r="I288" s="11" t="n">
        <v>594.58</v>
      </c>
      <c r="J288" s="11" t="n">
        <v>318.56</v>
      </c>
      <c r="K288" s="11" t="n">
        <v>79.28</v>
      </c>
      <c r="L288" s="11" t="n">
        <v>63.71</v>
      </c>
      <c r="M288" s="11" t="n">
        <v>5.6</v>
      </c>
      <c r="N288" s="11" t="n">
        <v>4.1</v>
      </c>
      <c r="O288" s="13" t="n">
        <v>0.486</v>
      </c>
    </row>
    <row r="289" customFormat="false" ht="15" hidden="false" customHeight="false" outlineLevel="0" collapsed="false">
      <c r="A289" s="4" t="s">
        <v>361</v>
      </c>
      <c r="B289" s="4" t="s">
        <v>165</v>
      </c>
      <c r="C289" s="4" t="s">
        <v>359</v>
      </c>
      <c r="D289" s="5" t="n">
        <v>5</v>
      </c>
      <c r="E289" s="6" t="n">
        <v>18.33</v>
      </c>
      <c r="F289" s="7" t="n">
        <f aca="false">E289*6</f>
        <v>109.98</v>
      </c>
      <c r="G289" s="7" t="n">
        <f aca="false">E289*12</f>
        <v>219.96</v>
      </c>
      <c r="H289" s="6" t="n">
        <v>23.36</v>
      </c>
      <c r="I289" s="6" t="n">
        <v>719.17</v>
      </c>
      <c r="J289" s="6" t="n">
        <v>384.01</v>
      </c>
      <c r="K289" s="6" t="n">
        <v>95.89</v>
      </c>
      <c r="L289" s="6" t="n">
        <v>76.8</v>
      </c>
      <c r="M289" s="6" t="n">
        <v>5.55</v>
      </c>
      <c r="N289" s="6" t="n">
        <v>4.05</v>
      </c>
      <c r="O289" s="8" t="n">
        <v>0.483</v>
      </c>
    </row>
    <row r="290" customFormat="false" ht="15" hidden="false" customHeight="false" outlineLevel="0" collapsed="false">
      <c r="A290" s="9" t="s">
        <v>362</v>
      </c>
      <c r="B290" s="9" t="s">
        <v>165</v>
      </c>
      <c r="C290" s="9" t="s">
        <v>359</v>
      </c>
      <c r="D290" s="10" t="n">
        <v>6</v>
      </c>
      <c r="E290" s="11" t="n">
        <v>21.69</v>
      </c>
      <c r="F290" s="12" t="n">
        <f aca="false">E290*6</f>
        <v>130.14</v>
      </c>
      <c r="G290" s="12" t="n">
        <f aca="false">E290*12</f>
        <v>260.28</v>
      </c>
      <c r="H290" s="11" t="n">
        <v>27.63</v>
      </c>
      <c r="I290" s="11" t="n">
        <v>834.64</v>
      </c>
      <c r="J290" s="11" t="n">
        <v>444.17</v>
      </c>
      <c r="K290" s="11" t="n">
        <v>111.29</v>
      </c>
      <c r="L290" s="11" t="n">
        <v>88.83</v>
      </c>
      <c r="M290" s="11" t="n">
        <v>5.5</v>
      </c>
      <c r="N290" s="11" t="n">
        <v>4.01</v>
      </c>
      <c r="O290" s="13" t="n">
        <v>0.479</v>
      </c>
    </row>
    <row r="291" customFormat="false" ht="15" hidden="false" customHeight="false" outlineLevel="0" collapsed="false">
      <c r="A291" s="4" t="s">
        <v>363</v>
      </c>
      <c r="B291" s="4" t="s">
        <v>165</v>
      </c>
      <c r="C291" s="4" t="s">
        <v>359</v>
      </c>
      <c r="D291" s="5" t="n">
        <v>8</v>
      </c>
      <c r="E291" s="6" t="n">
        <v>27.66</v>
      </c>
      <c r="F291" s="7" t="n">
        <f aca="false">E291*6</f>
        <v>165.96</v>
      </c>
      <c r="G291" s="7" t="n">
        <f aca="false">E291*12</f>
        <v>331.92</v>
      </c>
      <c r="H291" s="6" t="n">
        <v>35.24</v>
      </c>
      <c r="I291" s="6" t="n">
        <v>1008.02</v>
      </c>
      <c r="J291" s="6" t="n">
        <v>535.61</v>
      </c>
      <c r="K291" s="6" t="n">
        <v>134.4</v>
      </c>
      <c r="L291" s="6" t="n">
        <v>107.12</v>
      </c>
      <c r="M291" s="6" t="n">
        <v>5.35</v>
      </c>
      <c r="N291" s="6" t="n">
        <v>3.9</v>
      </c>
      <c r="O291" s="8" t="n">
        <v>0.466</v>
      </c>
    </row>
    <row r="292" customFormat="false" ht="15" hidden="false" customHeight="false" outlineLevel="0" collapsed="false">
      <c r="A292" s="9" t="s">
        <v>364</v>
      </c>
      <c r="B292" s="9" t="s">
        <v>165</v>
      </c>
      <c r="C292" s="9" t="s">
        <v>365</v>
      </c>
      <c r="D292" s="10" t="n">
        <v>4</v>
      </c>
      <c r="E292" s="11" t="n">
        <v>14.25</v>
      </c>
      <c r="F292" s="12" t="n">
        <f aca="false">E292*6</f>
        <v>85.5</v>
      </c>
      <c r="G292" s="12" t="n">
        <f aca="false">E292*12</f>
        <v>171</v>
      </c>
      <c r="H292" s="11" t="n">
        <v>18.15</v>
      </c>
      <c r="I292" s="11" t="n">
        <v>597.69</v>
      </c>
      <c r="J292" s="11" t="n">
        <v>203.54</v>
      </c>
      <c r="K292" s="11" t="n">
        <v>74.71</v>
      </c>
      <c r="L292" s="11" t="n">
        <v>50.88</v>
      </c>
      <c r="M292" s="11" t="n">
        <v>5.74</v>
      </c>
      <c r="N292" s="11" t="n">
        <v>3.35</v>
      </c>
      <c r="O292" s="13" t="n">
        <v>0.466</v>
      </c>
    </row>
    <row r="293" customFormat="false" ht="15" hidden="false" customHeight="false" outlineLevel="0" collapsed="false">
      <c r="A293" s="4" t="s">
        <v>366</v>
      </c>
      <c r="B293" s="4" t="s">
        <v>165</v>
      </c>
      <c r="C293" s="4" t="s">
        <v>365</v>
      </c>
      <c r="D293" s="5" t="n">
        <v>5</v>
      </c>
      <c r="E293" s="6" t="n">
        <v>17.55</v>
      </c>
      <c r="F293" s="7" t="n">
        <f aca="false">E293*6</f>
        <v>105.3</v>
      </c>
      <c r="G293" s="7" t="n">
        <f aca="false">E293*12</f>
        <v>210.6</v>
      </c>
      <c r="H293" s="6" t="n">
        <v>22.36</v>
      </c>
      <c r="I293" s="6" t="n">
        <v>721.65</v>
      </c>
      <c r="J293" s="6" t="n">
        <v>244.1</v>
      </c>
      <c r="K293" s="6" t="n">
        <v>90.21</v>
      </c>
      <c r="L293" s="6" t="n">
        <v>61.03</v>
      </c>
      <c r="M293" s="6" t="n">
        <v>5.68</v>
      </c>
      <c r="N293" s="6" t="n">
        <v>3.3</v>
      </c>
      <c r="O293" s="8" t="n">
        <v>0.463</v>
      </c>
    </row>
    <row r="294" customFormat="false" ht="15" hidden="false" customHeight="false" outlineLevel="0" collapsed="false">
      <c r="A294" s="9" t="s">
        <v>367</v>
      </c>
      <c r="B294" s="9" t="s">
        <v>165</v>
      </c>
      <c r="C294" s="9" t="s">
        <v>365</v>
      </c>
      <c r="D294" s="10" t="n">
        <v>6</v>
      </c>
      <c r="E294" s="11" t="n">
        <v>20.75</v>
      </c>
      <c r="F294" s="12" t="n">
        <f aca="false">E294*6</f>
        <v>124.5</v>
      </c>
      <c r="G294" s="12" t="n">
        <f aca="false">E294*12</f>
        <v>249</v>
      </c>
      <c r="H294" s="11" t="n">
        <v>26.43</v>
      </c>
      <c r="I294" s="11" t="n">
        <v>835.96</v>
      </c>
      <c r="J294" s="11" t="n">
        <v>280.88</v>
      </c>
      <c r="K294" s="11" t="n">
        <v>104.49</v>
      </c>
      <c r="L294" s="11" t="n">
        <v>70.22</v>
      </c>
      <c r="M294" s="11" t="n">
        <v>5.62</v>
      </c>
      <c r="N294" s="11" t="n">
        <v>3.26</v>
      </c>
      <c r="O294" s="13" t="n">
        <v>0.459</v>
      </c>
    </row>
    <row r="295" customFormat="false" ht="15" hidden="false" customHeight="false" outlineLevel="0" collapsed="false">
      <c r="A295" s="4" t="s">
        <v>368</v>
      </c>
      <c r="B295" s="4" t="s">
        <v>165</v>
      </c>
      <c r="C295" s="4" t="s">
        <v>365</v>
      </c>
      <c r="D295" s="5" t="n">
        <v>8</v>
      </c>
      <c r="E295" s="6" t="n">
        <v>26.41</v>
      </c>
      <c r="F295" s="7" t="n">
        <f aca="false">E295*6</f>
        <v>158.46</v>
      </c>
      <c r="G295" s="7" t="n">
        <f aca="false">E295*12</f>
        <v>316.92</v>
      </c>
      <c r="H295" s="6" t="n">
        <v>33.64</v>
      </c>
      <c r="I295" s="6" t="n">
        <v>1001.11</v>
      </c>
      <c r="J295" s="6" t="n">
        <v>334.92</v>
      </c>
      <c r="K295" s="6" t="n">
        <v>125.14</v>
      </c>
      <c r="L295" s="6" t="n">
        <v>83.73</v>
      </c>
      <c r="M295" s="6" t="n">
        <v>5.46</v>
      </c>
      <c r="N295" s="6" t="n">
        <v>3.16</v>
      </c>
      <c r="O295" s="8" t="n">
        <v>0.446</v>
      </c>
    </row>
    <row r="296" customFormat="false" ht="15" hidden="false" customHeight="false" outlineLevel="0" collapsed="false">
      <c r="A296" s="9" t="s">
        <v>369</v>
      </c>
      <c r="B296" s="9" t="s">
        <v>165</v>
      </c>
      <c r="C296" s="9" t="s">
        <v>365</v>
      </c>
      <c r="D296" s="10" t="n">
        <v>10</v>
      </c>
      <c r="E296" s="11" t="n">
        <v>31.84</v>
      </c>
      <c r="F296" s="12" t="n">
        <f aca="false">E296*6</f>
        <v>191.04</v>
      </c>
      <c r="G296" s="12" t="n">
        <f aca="false">E296*12</f>
        <v>382.08</v>
      </c>
      <c r="H296" s="11" t="n">
        <v>40.56</v>
      </c>
      <c r="I296" s="11" t="n">
        <v>1146.16</v>
      </c>
      <c r="J296" s="11" t="n">
        <v>379.77</v>
      </c>
      <c r="K296" s="11" t="n">
        <v>143.27</v>
      </c>
      <c r="L296" s="11" t="n">
        <v>94.94</v>
      </c>
      <c r="M296" s="11" t="n">
        <v>5.32</v>
      </c>
      <c r="N296" s="11" t="n">
        <v>3.06</v>
      </c>
      <c r="O296" s="13" t="n">
        <v>0.437</v>
      </c>
    </row>
    <row r="297" customFormat="false" ht="15" hidden="false" customHeight="false" outlineLevel="0" collapsed="false">
      <c r="A297" s="4" t="s">
        <v>370</v>
      </c>
      <c r="B297" s="4" t="s">
        <v>165</v>
      </c>
      <c r="C297" s="4" t="s">
        <v>371</v>
      </c>
      <c r="D297" s="5" t="n">
        <v>4</v>
      </c>
      <c r="E297" s="6" t="n">
        <v>16.76</v>
      </c>
      <c r="F297" s="7" t="n">
        <f aca="false">E297*6</f>
        <v>100.56</v>
      </c>
      <c r="G297" s="7" t="n">
        <f aca="false">E297*12</f>
        <v>201.12</v>
      </c>
      <c r="H297" s="6" t="n">
        <v>21.35</v>
      </c>
      <c r="I297" s="6" t="n">
        <v>926.01</v>
      </c>
      <c r="J297" s="6" t="n">
        <v>373.88</v>
      </c>
      <c r="K297" s="6" t="n">
        <v>102.89</v>
      </c>
      <c r="L297" s="6" t="n">
        <v>74.78</v>
      </c>
      <c r="M297" s="6" t="n">
        <v>6.59</v>
      </c>
      <c r="N297" s="6" t="n">
        <v>4.18</v>
      </c>
      <c r="O297" s="8" t="n">
        <v>0.546</v>
      </c>
    </row>
    <row r="298" customFormat="false" ht="15" hidden="false" customHeight="false" outlineLevel="0" collapsed="false">
      <c r="A298" s="9" t="s">
        <v>372</v>
      </c>
      <c r="B298" s="9" t="s">
        <v>165</v>
      </c>
      <c r="C298" s="9" t="s">
        <v>371</v>
      </c>
      <c r="D298" s="10" t="n">
        <v>5</v>
      </c>
      <c r="E298" s="11" t="n">
        <v>20.69</v>
      </c>
      <c r="F298" s="12" t="n">
        <f aca="false">E298*6</f>
        <v>124.14</v>
      </c>
      <c r="G298" s="12" t="n">
        <f aca="false">E298*12</f>
        <v>248.28</v>
      </c>
      <c r="H298" s="11" t="n">
        <v>26.36</v>
      </c>
      <c r="I298" s="11" t="n">
        <v>1124.15</v>
      </c>
      <c r="J298" s="11" t="n">
        <v>451.76</v>
      </c>
      <c r="K298" s="11" t="n">
        <v>124.91</v>
      </c>
      <c r="L298" s="11" t="n">
        <v>90.35</v>
      </c>
      <c r="M298" s="11" t="n">
        <v>6.53</v>
      </c>
      <c r="N298" s="11" t="n">
        <v>4.14</v>
      </c>
      <c r="O298" s="13" t="n">
        <v>0.543</v>
      </c>
    </row>
    <row r="299" customFormat="false" ht="15" hidden="false" customHeight="false" outlineLevel="0" collapsed="false">
      <c r="A299" s="4" t="s">
        <v>373</v>
      </c>
      <c r="B299" s="4" t="s">
        <v>165</v>
      </c>
      <c r="C299" s="4" t="s">
        <v>371</v>
      </c>
      <c r="D299" s="5" t="n">
        <v>6</v>
      </c>
      <c r="E299" s="6" t="n">
        <v>24.52</v>
      </c>
      <c r="F299" s="7" t="n">
        <f aca="false">E299*6</f>
        <v>147.12</v>
      </c>
      <c r="G299" s="7" t="n">
        <f aca="false">E299*12</f>
        <v>294.24</v>
      </c>
      <c r="H299" s="6" t="n">
        <v>31.23</v>
      </c>
      <c r="I299" s="6" t="n">
        <v>1309.54</v>
      </c>
      <c r="J299" s="6" t="n">
        <v>523.81</v>
      </c>
      <c r="K299" s="6" t="n">
        <v>145.5</v>
      </c>
      <c r="L299" s="6" t="n">
        <v>104.76</v>
      </c>
      <c r="M299" s="6" t="n">
        <v>6.48</v>
      </c>
      <c r="N299" s="6" t="n">
        <v>4.1</v>
      </c>
      <c r="O299" s="8" t="n">
        <v>0.539</v>
      </c>
    </row>
    <row r="300" customFormat="false" ht="15" hidden="false" customHeight="false" outlineLevel="0" collapsed="false">
      <c r="A300" s="9" t="s">
        <v>374</v>
      </c>
      <c r="B300" s="9" t="s">
        <v>165</v>
      </c>
      <c r="C300" s="9" t="s">
        <v>371</v>
      </c>
      <c r="D300" s="10" t="n">
        <v>8</v>
      </c>
      <c r="E300" s="11" t="n">
        <v>31.43</v>
      </c>
      <c r="F300" s="12" t="n">
        <f aca="false">E300*6</f>
        <v>188.58</v>
      </c>
      <c r="G300" s="12" t="n">
        <f aca="false">E300*12</f>
        <v>377.16</v>
      </c>
      <c r="H300" s="11" t="n">
        <v>40.04</v>
      </c>
      <c r="I300" s="11" t="n">
        <v>1598.34</v>
      </c>
      <c r="J300" s="11" t="n">
        <v>637.43</v>
      </c>
      <c r="K300" s="11" t="n">
        <v>177.59</v>
      </c>
      <c r="L300" s="11" t="n">
        <v>127.49</v>
      </c>
      <c r="M300" s="11" t="n">
        <v>6.32</v>
      </c>
      <c r="N300" s="11" t="n">
        <v>3.99</v>
      </c>
      <c r="O300" s="13" t="n">
        <v>0.526</v>
      </c>
    </row>
    <row r="301" customFormat="false" ht="15" hidden="false" customHeight="false" outlineLevel="0" collapsed="false">
      <c r="A301" s="4" t="s">
        <v>375</v>
      </c>
      <c r="B301" s="4" t="s">
        <v>165</v>
      </c>
      <c r="C301" s="4" t="s">
        <v>371</v>
      </c>
      <c r="D301" s="5" t="n">
        <v>10</v>
      </c>
      <c r="E301" s="6" t="n">
        <v>38.12</v>
      </c>
      <c r="F301" s="7" t="n">
        <f aca="false">E301*6</f>
        <v>228.72</v>
      </c>
      <c r="G301" s="7" t="n">
        <f aca="false">E301*12</f>
        <v>457.44</v>
      </c>
      <c r="H301" s="6" t="n">
        <v>48.56</v>
      </c>
      <c r="I301" s="6" t="n">
        <v>1859.23</v>
      </c>
      <c r="J301" s="6" t="n">
        <v>736.34</v>
      </c>
      <c r="K301" s="6" t="n">
        <v>206.58</v>
      </c>
      <c r="L301" s="6" t="n">
        <v>147.27</v>
      </c>
      <c r="M301" s="6" t="n">
        <v>6.19</v>
      </c>
      <c r="N301" s="6" t="n">
        <v>3.89</v>
      </c>
      <c r="O301" s="8" t="n">
        <v>0.517</v>
      </c>
    </row>
    <row r="302" customFormat="false" ht="15" hidden="false" customHeight="false" outlineLevel="0" collapsed="false">
      <c r="A302" s="9" t="s">
        <v>376</v>
      </c>
      <c r="B302" s="9" t="s">
        <v>165</v>
      </c>
      <c r="C302" s="9" t="s">
        <v>377</v>
      </c>
      <c r="D302" s="10" t="n">
        <v>4</v>
      </c>
      <c r="E302" s="11" t="n">
        <v>18.01</v>
      </c>
      <c r="F302" s="12" t="n">
        <f aca="false">E302*6</f>
        <v>108.06</v>
      </c>
      <c r="G302" s="12" t="n">
        <f aca="false">E302*12</f>
        <v>216.12</v>
      </c>
      <c r="H302" s="11" t="n">
        <v>22.95</v>
      </c>
      <c r="I302" s="11" t="n">
        <v>1199.67</v>
      </c>
      <c r="J302" s="11" t="n">
        <v>410.77</v>
      </c>
      <c r="K302" s="11" t="n">
        <v>119.97</v>
      </c>
      <c r="L302" s="11" t="n">
        <v>82.15</v>
      </c>
      <c r="M302" s="11" t="n">
        <v>7.23</v>
      </c>
      <c r="N302" s="11" t="n">
        <v>4.23</v>
      </c>
      <c r="O302" s="13" t="n">
        <v>0.586</v>
      </c>
    </row>
    <row r="303" customFormat="false" ht="15" hidden="false" customHeight="false" outlineLevel="0" collapsed="false">
      <c r="A303" s="4" t="s">
        <v>378</v>
      </c>
      <c r="B303" s="4" t="s">
        <v>165</v>
      </c>
      <c r="C303" s="4" t="s">
        <v>377</v>
      </c>
      <c r="D303" s="5" t="n">
        <v>5</v>
      </c>
      <c r="E303" s="6" t="n">
        <v>22.26</v>
      </c>
      <c r="F303" s="7" t="n">
        <f aca="false">E303*6</f>
        <v>133.56</v>
      </c>
      <c r="G303" s="7" t="n">
        <f aca="false">E303*12</f>
        <v>267.12</v>
      </c>
      <c r="H303" s="6" t="n">
        <v>28.36</v>
      </c>
      <c r="I303" s="6" t="n">
        <v>1459.2</v>
      </c>
      <c r="J303" s="6" t="n">
        <v>496.92</v>
      </c>
      <c r="K303" s="6" t="n">
        <v>145.92</v>
      </c>
      <c r="L303" s="6" t="n">
        <v>99.38</v>
      </c>
      <c r="M303" s="6" t="n">
        <v>7.17</v>
      </c>
      <c r="N303" s="6" t="n">
        <v>4.19</v>
      </c>
      <c r="O303" s="8" t="n">
        <v>0.583</v>
      </c>
    </row>
    <row r="304" customFormat="false" ht="15" hidden="false" customHeight="false" outlineLevel="0" collapsed="false">
      <c r="A304" s="9" t="s">
        <v>379</v>
      </c>
      <c r="B304" s="9" t="s">
        <v>165</v>
      </c>
      <c r="C304" s="9" t="s">
        <v>377</v>
      </c>
      <c r="D304" s="10" t="n">
        <v>6</v>
      </c>
      <c r="E304" s="11" t="n">
        <v>26.4</v>
      </c>
      <c r="F304" s="12" t="n">
        <f aca="false">E304*6</f>
        <v>158.4</v>
      </c>
      <c r="G304" s="12" t="n">
        <f aca="false">E304*12</f>
        <v>316.8</v>
      </c>
      <c r="H304" s="11" t="n">
        <v>33.63</v>
      </c>
      <c r="I304" s="11" t="n">
        <v>1703.23</v>
      </c>
      <c r="J304" s="11" t="n">
        <v>576.89</v>
      </c>
      <c r="K304" s="11" t="n">
        <v>170.32</v>
      </c>
      <c r="L304" s="11" t="n">
        <v>115.38</v>
      </c>
      <c r="M304" s="11" t="n">
        <v>7.12</v>
      </c>
      <c r="N304" s="11" t="n">
        <v>4.14</v>
      </c>
      <c r="O304" s="13" t="n">
        <v>0.579</v>
      </c>
    </row>
    <row r="305" customFormat="false" ht="15" hidden="false" customHeight="false" outlineLevel="0" collapsed="false">
      <c r="A305" s="4" t="s">
        <v>380</v>
      </c>
      <c r="B305" s="4" t="s">
        <v>165</v>
      </c>
      <c r="C305" s="4" t="s">
        <v>377</v>
      </c>
      <c r="D305" s="5" t="n">
        <v>8</v>
      </c>
      <c r="E305" s="6" t="n">
        <v>33.94</v>
      </c>
      <c r="F305" s="7" t="n">
        <f aca="false">E305*6</f>
        <v>203.64</v>
      </c>
      <c r="G305" s="7" t="n">
        <f aca="false">E305*12</f>
        <v>407.28</v>
      </c>
      <c r="H305" s="6" t="n">
        <v>43.24</v>
      </c>
      <c r="I305" s="6" t="n">
        <v>2090.65</v>
      </c>
      <c r="J305" s="6" t="n">
        <v>705.31</v>
      </c>
      <c r="K305" s="6" t="n">
        <v>209.07</v>
      </c>
      <c r="L305" s="6" t="n">
        <v>141.06</v>
      </c>
      <c r="M305" s="6" t="n">
        <v>6.95</v>
      </c>
      <c r="N305" s="6" t="n">
        <v>4.04</v>
      </c>
      <c r="O305" s="8" t="n">
        <v>0.566</v>
      </c>
    </row>
    <row r="306" customFormat="false" ht="15" hidden="false" customHeight="false" outlineLevel="0" collapsed="false">
      <c r="A306" s="9" t="s">
        <v>381</v>
      </c>
      <c r="B306" s="9" t="s">
        <v>165</v>
      </c>
      <c r="C306" s="9" t="s">
        <v>377</v>
      </c>
      <c r="D306" s="10" t="n">
        <v>10</v>
      </c>
      <c r="E306" s="11" t="n">
        <v>41.26</v>
      </c>
      <c r="F306" s="12" t="n">
        <f aca="false">E306*6</f>
        <v>247.56</v>
      </c>
      <c r="G306" s="12" t="n">
        <f aca="false">E306*12</f>
        <v>495.12</v>
      </c>
      <c r="H306" s="11" t="n">
        <v>52.56</v>
      </c>
      <c r="I306" s="11" t="n">
        <v>2444.11</v>
      </c>
      <c r="J306" s="11" t="n">
        <v>817.68</v>
      </c>
      <c r="K306" s="11" t="n">
        <v>244.41</v>
      </c>
      <c r="L306" s="11" t="n">
        <v>163.54</v>
      </c>
      <c r="M306" s="11" t="n">
        <v>6.82</v>
      </c>
      <c r="N306" s="11" t="n">
        <v>3.94</v>
      </c>
      <c r="O306" s="13" t="n">
        <v>0.557</v>
      </c>
    </row>
    <row r="307" customFormat="false" ht="15" hidden="false" customHeight="false" outlineLevel="0" collapsed="false">
      <c r="A307" s="4" t="s">
        <v>382</v>
      </c>
      <c r="B307" s="4" t="s">
        <v>165</v>
      </c>
      <c r="C307" s="4" t="s">
        <v>383</v>
      </c>
      <c r="D307" s="5" t="n">
        <v>4</v>
      </c>
      <c r="E307" s="6" t="n">
        <v>19.27</v>
      </c>
      <c r="F307" s="7" t="n">
        <f aca="false">E307*6</f>
        <v>115.62</v>
      </c>
      <c r="G307" s="7" t="n">
        <f aca="false">E307*12</f>
        <v>231.24</v>
      </c>
      <c r="H307" s="6" t="n">
        <v>24.55</v>
      </c>
      <c r="I307" s="6" t="n">
        <v>1353.35</v>
      </c>
      <c r="J307" s="6" t="n">
        <v>617.64</v>
      </c>
      <c r="K307" s="6" t="n">
        <v>135.34</v>
      </c>
      <c r="L307" s="6" t="n">
        <v>102.94</v>
      </c>
      <c r="M307" s="6" t="n">
        <v>7.43</v>
      </c>
      <c r="N307" s="6" t="n">
        <v>5.02</v>
      </c>
      <c r="O307" s="8" t="n">
        <v>0.626</v>
      </c>
    </row>
    <row r="308" customFormat="false" ht="15" hidden="false" customHeight="false" outlineLevel="0" collapsed="false">
      <c r="A308" s="9" t="s">
        <v>384</v>
      </c>
      <c r="B308" s="9" t="s">
        <v>165</v>
      </c>
      <c r="C308" s="9" t="s">
        <v>383</v>
      </c>
      <c r="D308" s="10" t="n">
        <v>5</v>
      </c>
      <c r="E308" s="11" t="n">
        <v>23.83</v>
      </c>
      <c r="F308" s="12" t="n">
        <f aca="false">E308*6</f>
        <v>142.98</v>
      </c>
      <c r="G308" s="12" t="n">
        <f aca="false">E308*12</f>
        <v>285.96</v>
      </c>
      <c r="H308" s="11" t="n">
        <v>30.36</v>
      </c>
      <c r="I308" s="11" t="n">
        <v>1649.36</v>
      </c>
      <c r="J308" s="11" t="n">
        <v>750.12</v>
      </c>
      <c r="K308" s="11" t="n">
        <v>164.94</v>
      </c>
      <c r="L308" s="11" t="n">
        <v>125.02</v>
      </c>
      <c r="M308" s="11" t="n">
        <v>7.37</v>
      </c>
      <c r="N308" s="11" t="n">
        <v>4.97</v>
      </c>
      <c r="O308" s="13" t="n">
        <v>0.623</v>
      </c>
    </row>
    <row r="309" customFormat="false" ht="15" hidden="false" customHeight="false" outlineLevel="0" collapsed="false">
      <c r="A309" s="4" t="s">
        <v>385</v>
      </c>
      <c r="B309" s="4" t="s">
        <v>165</v>
      </c>
      <c r="C309" s="4" t="s">
        <v>383</v>
      </c>
      <c r="D309" s="5" t="n">
        <v>6</v>
      </c>
      <c r="E309" s="6" t="n">
        <v>28.29</v>
      </c>
      <c r="F309" s="7" t="n">
        <f aca="false">E309*6</f>
        <v>169.74</v>
      </c>
      <c r="G309" s="7" t="n">
        <f aca="false">E309*12</f>
        <v>339.48</v>
      </c>
      <c r="H309" s="6" t="n">
        <v>36.03</v>
      </c>
      <c r="I309" s="6" t="n">
        <v>1929.11</v>
      </c>
      <c r="J309" s="6" t="n">
        <v>874.32</v>
      </c>
      <c r="K309" s="6" t="n">
        <v>192.91</v>
      </c>
      <c r="L309" s="6" t="n">
        <v>145.72</v>
      </c>
      <c r="M309" s="6" t="n">
        <v>7.32</v>
      </c>
      <c r="N309" s="6" t="n">
        <v>4.93</v>
      </c>
      <c r="O309" s="8" t="n">
        <v>0.619</v>
      </c>
    </row>
    <row r="310" customFormat="false" ht="15" hidden="false" customHeight="false" outlineLevel="0" collapsed="false">
      <c r="A310" s="9" t="s">
        <v>386</v>
      </c>
      <c r="B310" s="9" t="s">
        <v>165</v>
      </c>
      <c r="C310" s="9" t="s">
        <v>383</v>
      </c>
      <c r="D310" s="10" t="n">
        <v>8</v>
      </c>
      <c r="E310" s="11" t="n">
        <v>36.46</v>
      </c>
      <c r="F310" s="12" t="n">
        <f aca="false">E310*6</f>
        <v>218.76</v>
      </c>
      <c r="G310" s="12" t="n">
        <f aca="false">E310*12</f>
        <v>437.52</v>
      </c>
      <c r="H310" s="11" t="n">
        <v>46.44</v>
      </c>
      <c r="I310" s="11" t="n">
        <v>2385.73</v>
      </c>
      <c r="J310" s="11" t="n">
        <v>1078.9</v>
      </c>
      <c r="K310" s="11" t="n">
        <v>238.57</v>
      </c>
      <c r="L310" s="11" t="n">
        <v>179.82</v>
      </c>
      <c r="M310" s="11" t="n">
        <v>7.17</v>
      </c>
      <c r="N310" s="11" t="n">
        <v>4.82</v>
      </c>
      <c r="O310" s="13" t="n">
        <v>0.606</v>
      </c>
    </row>
    <row r="311" customFormat="false" ht="15" hidden="false" customHeight="false" outlineLevel="0" collapsed="false">
      <c r="A311" s="4" t="s">
        <v>387</v>
      </c>
      <c r="B311" s="4" t="s">
        <v>165</v>
      </c>
      <c r="C311" s="4" t="s">
        <v>383</v>
      </c>
      <c r="D311" s="5" t="n">
        <v>10</v>
      </c>
      <c r="E311" s="6" t="n">
        <v>44.4</v>
      </c>
      <c r="F311" s="7" t="n">
        <f aca="false">E311*6</f>
        <v>266.4</v>
      </c>
      <c r="G311" s="7" t="n">
        <f aca="false">E311*12</f>
        <v>532.8</v>
      </c>
      <c r="H311" s="6" t="n">
        <v>56.56</v>
      </c>
      <c r="I311" s="6" t="n">
        <v>2805.44</v>
      </c>
      <c r="J311" s="6" t="n">
        <v>1262.04</v>
      </c>
      <c r="K311" s="6" t="n">
        <v>280.54</v>
      </c>
      <c r="L311" s="6" t="n">
        <v>210.34</v>
      </c>
      <c r="M311" s="6" t="n">
        <v>7.04</v>
      </c>
      <c r="N311" s="6" t="n">
        <v>4.72</v>
      </c>
      <c r="O311" s="8" t="n">
        <v>0.597</v>
      </c>
    </row>
    <row r="312" customFormat="false" ht="15" hidden="false" customHeight="false" outlineLevel="0" collapsed="false">
      <c r="A312" s="9" t="s">
        <v>388</v>
      </c>
      <c r="B312" s="9" t="s">
        <v>165</v>
      </c>
      <c r="C312" s="9" t="s">
        <v>389</v>
      </c>
      <c r="D312" s="10" t="n">
        <v>4</v>
      </c>
      <c r="E312" s="11" t="n">
        <v>21.15</v>
      </c>
      <c r="F312" s="12" t="n">
        <f aca="false">E312*6</f>
        <v>126.9</v>
      </c>
      <c r="G312" s="12" t="n">
        <f aca="false">E312*12</f>
        <v>253.8</v>
      </c>
      <c r="H312" s="11" t="n">
        <v>26.95</v>
      </c>
      <c r="I312" s="11" t="n">
        <v>1583.88</v>
      </c>
      <c r="J312" s="11" t="n">
        <v>1021.01</v>
      </c>
      <c r="K312" s="11" t="n">
        <v>158.39</v>
      </c>
      <c r="L312" s="11" t="n">
        <v>136.13</v>
      </c>
      <c r="M312" s="11" t="n">
        <v>7.67</v>
      </c>
      <c r="N312" s="11" t="n">
        <v>6.16</v>
      </c>
      <c r="O312" s="13" t="n">
        <v>0.686</v>
      </c>
    </row>
    <row r="313" customFormat="false" ht="15" hidden="false" customHeight="false" outlineLevel="0" collapsed="false">
      <c r="A313" s="4" t="s">
        <v>390</v>
      </c>
      <c r="B313" s="4" t="s">
        <v>165</v>
      </c>
      <c r="C313" s="4" t="s">
        <v>389</v>
      </c>
      <c r="D313" s="5" t="n">
        <v>5</v>
      </c>
      <c r="E313" s="6" t="n">
        <v>26.18</v>
      </c>
      <c r="F313" s="7" t="n">
        <f aca="false">E313*6</f>
        <v>157.08</v>
      </c>
      <c r="G313" s="7" t="n">
        <f aca="false">E313*12</f>
        <v>314.16</v>
      </c>
      <c r="H313" s="6" t="n">
        <v>33.36</v>
      </c>
      <c r="I313" s="6" t="n">
        <v>1934.61</v>
      </c>
      <c r="J313" s="6" t="n">
        <v>1245</v>
      </c>
      <c r="K313" s="6" t="n">
        <v>193.46</v>
      </c>
      <c r="L313" s="6" t="n">
        <v>166</v>
      </c>
      <c r="M313" s="6" t="n">
        <v>7.62</v>
      </c>
      <c r="N313" s="6" t="n">
        <v>6.11</v>
      </c>
      <c r="O313" s="8" t="n">
        <v>0.683</v>
      </c>
    </row>
    <row r="314" customFormat="false" ht="15" hidden="false" customHeight="false" outlineLevel="0" collapsed="false">
      <c r="A314" s="9" t="s">
        <v>391</v>
      </c>
      <c r="B314" s="9" t="s">
        <v>165</v>
      </c>
      <c r="C314" s="9" t="s">
        <v>389</v>
      </c>
      <c r="D314" s="10" t="n">
        <v>6</v>
      </c>
      <c r="E314" s="11" t="n">
        <v>31.11</v>
      </c>
      <c r="F314" s="12" t="n">
        <f aca="false">E314*6</f>
        <v>186.66</v>
      </c>
      <c r="G314" s="12" t="n">
        <f aca="false">E314*12</f>
        <v>373.32</v>
      </c>
      <c r="H314" s="11" t="n">
        <v>39.63</v>
      </c>
      <c r="I314" s="11" t="n">
        <v>2267.95</v>
      </c>
      <c r="J314" s="11" t="n">
        <v>1457.08</v>
      </c>
      <c r="K314" s="11" t="n">
        <v>226.79</v>
      </c>
      <c r="L314" s="11" t="n">
        <v>194.28</v>
      </c>
      <c r="M314" s="11" t="n">
        <v>7.56</v>
      </c>
      <c r="N314" s="11" t="n">
        <v>6.06</v>
      </c>
      <c r="O314" s="13" t="n">
        <v>0.679</v>
      </c>
    </row>
    <row r="315" customFormat="false" ht="15" hidden="false" customHeight="false" outlineLevel="0" collapsed="false">
      <c r="A315" s="4" t="s">
        <v>392</v>
      </c>
      <c r="B315" s="4" t="s">
        <v>165</v>
      </c>
      <c r="C315" s="4" t="s">
        <v>389</v>
      </c>
      <c r="D315" s="5" t="n">
        <v>8</v>
      </c>
      <c r="E315" s="6" t="n">
        <v>40.22</v>
      </c>
      <c r="F315" s="7" t="n">
        <f aca="false">E315*6</f>
        <v>241.32</v>
      </c>
      <c r="G315" s="7" t="n">
        <f aca="false">E315*12</f>
        <v>482.64</v>
      </c>
      <c r="H315" s="6" t="n">
        <v>51.24</v>
      </c>
      <c r="I315" s="6" t="n">
        <v>2828.36</v>
      </c>
      <c r="J315" s="6" t="n">
        <v>1815.44</v>
      </c>
      <c r="K315" s="6" t="n">
        <v>282.84</v>
      </c>
      <c r="L315" s="6" t="n">
        <v>242.06</v>
      </c>
      <c r="M315" s="6" t="n">
        <v>7.43</v>
      </c>
      <c r="N315" s="6" t="n">
        <v>5.95</v>
      </c>
      <c r="O315" s="8" t="n">
        <v>0.666</v>
      </c>
    </row>
    <row r="316" customFormat="false" ht="15" hidden="false" customHeight="false" outlineLevel="0" collapsed="false">
      <c r="A316" s="9" t="s">
        <v>393</v>
      </c>
      <c r="B316" s="9" t="s">
        <v>165</v>
      </c>
      <c r="C316" s="9" t="s">
        <v>389</v>
      </c>
      <c r="D316" s="10" t="n">
        <v>10</v>
      </c>
      <c r="E316" s="11" t="n">
        <v>49.11</v>
      </c>
      <c r="F316" s="12" t="n">
        <f aca="false">E316*6</f>
        <v>294.66</v>
      </c>
      <c r="G316" s="12" t="n">
        <f aca="false">E316*12</f>
        <v>589.32</v>
      </c>
      <c r="H316" s="11" t="n">
        <v>62.56</v>
      </c>
      <c r="I316" s="11" t="n">
        <v>3347.44</v>
      </c>
      <c r="J316" s="11" t="n">
        <v>2143.21</v>
      </c>
      <c r="K316" s="11" t="n">
        <v>334.74</v>
      </c>
      <c r="L316" s="11" t="n">
        <v>285.76</v>
      </c>
      <c r="M316" s="11" t="n">
        <v>7.31</v>
      </c>
      <c r="N316" s="11" t="n">
        <v>5.85</v>
      </c>
      <c r="O316" s="13" t="n">
        <v>0.657</v>
      </c>
    </row>
    <row r="317" customFormat="false" ht="15" hidden="false" customHeight="false" outlineLevel="0" collapsed="false">
      <c r="A317" s="4" t="s">
        <v>394</v>
      </c>
      <c r="B317" s="4" t="s">
        <v>165</v>
      </c>
      <c r="C317" s="4" t="s">
        <v>395</v>
      </c>
      <c r="D317" s="5" t="n">
        <v>5</v>
      </c>
      <c r="E317" s="6" t="n">
        <v>30.11</v>
      </c>
      <c r="F317" s="7" t="n">
        <f aca="false">E317*6</f>
        <v>180.66</v>
      </c>
      <c r="G317" s="7" t="n">
        <f aca="false">E317*12</f>
        <v>361.32</v>
      </c>
      <c r="H317" s="6" t="n">
        <v>38.36</v>
      </c>
      <c r="I317" s="6" t="n">
        <v>3304.09</v>
      </c>
      <c r="J317" s="6" t="n">
        <v>1507.92</v>
      </c>
      <c r="K317" s="6" t="n">
        <v>264.33</v>
      </c>
      <c r="L317" s="6" t="n">
        <v>201.06</v>
      </c>
      <c r="M317" s="6" t="n">
        <v>9.28</v>
      </c>
      <c r="N317" s="6" t="n">
        <v>6.27</v>
      </c>
      <c r="O317" s="8" t="n">
        <v>0.783</v>
      </c>
    </row>
    <row r="318" customFormat="false" ht="15" hidden="false" customHeight="false" outlineLevel="0" collapsed="false">
      <c r="A318" s="9" t="s">
        <v>396</v>
      </c>
      <c r="B318" s="9" t="s">
        <v>165</v>
      </c>
      <c r="C318" s="9" t="s">
        <v>395</v>
      </c>
      <c r="D318" s="10" t="n">
        <v>6</v>
      </c>
      <c r="E318" s="11" t="n">
        <v>35.82</v>
      </c>
      <c r="F318" s="12" t="n">
        <f aca="false">E318*6</f>
        <v>214.92</v>
      </c>
      <c r="G318" s="12" t="n">
        <f aca="false">E318*12</f>
        <v>429.84</v>
      </c>
      <c r="H318" s="11" t="n">
        <v>45.63</v>
      </c>
      <c r="I318" s="11" t="n">
        <v>3885.43</v>
      </c>
      <c r="J318" s="11" t="n">
        <v>1768.3</v>
      </c>
      <c r="K318" s="11" t="n">
        <v>310.83</v>
      </c>
      <c r="L318" s="11" t="n">
        <v>235.77</v>
      </c>
      <c r="M318" s="11" t="n">
        <v>9.23</v>
      </c>
      <c r="N318" s="11" t="n">
        <v>6.23</v>
      </c>
      <c r="O318" s="13" t="n">
        <v>0.779</v>
      </c>
    </row>
    <row r="319" customFormat="false" ht="15" hidden="false" customHeight="false" outlineLevel="0" collapsed="false">
      <c r="A319" s="4" t="s">
        <v>397</v>
      </c>
      <c r="B319" s="4" t="s">
        <v>165</v>
      </c>
      <c r="C319" s="4" t="s">
        <v>395</v>
      </c>
      <c r="D319" s="5" t="n">
        <v>8</v>
      </c>
      <c r="E319" s="6" t="n">
        <v>46.5</v>
      </c>
      <c r="F319" s="7" t="n">
        <f aca="false">E319*6</f>
        <v>279</v>
      </c>
      <c r="G319" s="7" t="n">
        <f aca="false">E319*12</f>
        <v>558</v>
      </c>
      <c r="H319" s="6" t="n">
        <v>59.24</v>
      </c>
      <c r="I319" s="6" t="n">
        <v>4885.49</v>
      </c>
      <c r="J319" s="6" t="n">
        <v>2219.14</v>
      </c>
      <c r="K319" s="6" t="n">
        <v>390.84</v>
      </c>
      <c r="L319" s="6" t="n">
        <v>295.89</v>
      </c>
      <c r="M319" s="6" t="n">
        <v>9.08</v>
      </c>
      <c r="N319" s="6" t="n">
        <v>6.12</v>
      </c>
      <c r="O319" s="8" t="n">
        <v>0.766</v>
      </c>
    </row>
    <row r="320" customFormat="false" ht="15" hidden="false" customHeight="false" outlineLevel="0" collapsed="false">
      <c r="A320" s="9" t="s">
        <v>398</v>
      </c>
      <c r="B320" s="9" t="s">
        <v>165</v>
      </c>
      <c r="C320" s="9" t="s">
        <v>395</v>
      </c>
      <c r="D320" s="10" t="n">
        <v>10</v>
      </c>
      <c r="E320" s="11" t="n">
        <v>56.96</v>
      </c>
      <c r="F320" s="12" t="n">
        <f aca="false">E320*6</f>
        <v>341.76</v>
      </c>
      <c r="G320" s="12" t="n">
        <f aca="false">E320*12</f>
        <v>683.52</v>
      </c>
      <c r="H320" s="11" t="n">
        <v>72.56</v>
      </c>
      <c r="I320" s="11" t="n">
        <v>5824.54</v>
      </c>
      <c r="J320" s="11" t="n">
        <v>2634.04</v>
      </c>
      <c r="K320" s="11" t="n">
        <v>465.96</v>
      </c>
      <c r="L320" s="11" t="n">
        <v>351.21</v>
      </c>
      <c r="M320" s="11" t="n">
        <v>8.96</v>
      </c>
      <c r="N320" s="11" t="n">
        <v>6.02</v>
      </c>
      <c r="O320" s="13" t="n">
        <v>0.757</v>
      </c>
    </row>
    <row r="321" customFormat="false" ht="15" hidden="false" customHeight="false" outlineLevel="0" collapsed="false">
      <c r="A321" s="4" t="s">
        <v>399</v>
      </c>
      <c r="B321" s="4" t="s">
        <v>165</v>
      </c>
      <c r="C321" s="4" t="s">
        <v>395</v>
      </c>
      <c r="D321" s="5" t="n">
        <v>12.5</v>
      </c>
      <c r="E321" s="6" t="n">
        <v>68.32</v>
      </c>
      <c r="F321" s="7" t="n">
        <f aca="false">E321*6</f>
        <v>409.92</v>
      </c>
      <c r="G321" s="7" t="n">
        <f aca="false">E321*12</f>
        <v>819.84</v>
      </c>
      <c r="H321" s="6" t="n">
        <v>87.04</v>
      </c>
      <c r="I321" s="6" t="n">
        <v>6631.79</v>
      </c>
      <c r="J321" s="6" t="n">
        <v>3002.04</v>
      </c>
      <c r="K321" s="6" t="n">
        <v>530.54</v>
      </c>
      <c r="L321" s="6" t="n">
        <v>400.27</v>
      </c>
      <c r="M321" s="6" t="n">
        <v>8.73</v>
      </c>
      <c r="N321" s="6" t="n">
        <v>5.87</v>
      </c>
      <c r="O321" s="8" t="n">
        <v>0.736</v>
      </c>
    </row>
    <row r="322" customFormat="false" ht="15" hidden="false" customHeight="false" outlineLevel="0" collapsed="false">
      <c r="A322" s="9" t="s">
        <v>400</v>
      </c>
      <c r="B322" s="9" t="s">
        <v>165</v>
      </c>
      <c r="C322" s="9" t="s">
        <v>401</v>
      </c>
      <c r="D322" s="10" t="n">
        <v>5</v>
      </c>
      <c r="E322" s="11" t="n">
        <v>30.11</v>
      </c>
      <c r="F322" s="12" t="n">
        <f aca="false">E322*6</f>
        <v>180.66</v>
      </c>
      <c r="G322" s="12" t="n">
        <f aca="false">E322*12</f>
        <v>361.32</v>
      </c>
      <c r="H322" s="11" t="n">
        <v>38.36</v>
      </c>
      <c r="I322" s="11" t="n">
        <v>4065.09</v>
      </c>
      <c r="J322" s="11" t="n">
        <v>722.76</v>
      </c>
      <c r="K322" s="11" t="n">
        <v>271.01</v>
      </c>
      <c r="L322" s="11" t="n">
        <v>144.55</v>
      </c>
      <c r="M322" s="11" t="n">
        <v>10.29</v>
      </c>
      <c r="N322" s="11" t="n">
        <v>4.34</v>
      </c>
      <c r="O322" s="13" t="n">
        <v>0.783</v>
      </c>
    </row>
    <row r="323" customFormat="false" ht="15" hidden="false" customHeight="false" outlineLevel="0" collapsed="false">
      <c r="A323" s="4" t="s">
        <v>402</v>
      </c>
      <c r="B323" s="4" t="s">
        <v>165</v>
      </c>
      <c r="C323" s="4" t="s">
        <v>401</v>
      </c>
      <c r="D323" s="5" t="n">
        <v>6</v>
      </c>
      <c r="E323" s="6" t="n">
        <v>35.82</v>
      </c>
      <c r="F323" s="7" t="n">
        <f aca="false">E323*6</f>
        <v>214.92</v>
      </c>
      <c r="G323" s="7" t="n">
        <f aca="false">E323*12</f>
        <v>429.84</v>
      </c>
      <c r="H323" s="6" t="n">
        <v>45.63</v>
      </c>
      <c r="I323" s="6" t="n">
        <v>4776.6</v>
      </c>
      <c r="J323" s="6" t="n">
        <v>842.33</v>
      </c>
      <c r="K323" s="6" t="n">
        <v>318.44</v>
      </c>
      <c r="L323" s="6" t="n">
        <v>168.47</v>
      </c>
      <c r="M323" s="6" t="n">
        <v>10.23</v>
      </c>
      <c r="N323" s="6" t="n">
        <v>4.3</v>
      </c>
      <c r="O323" s="8" t="n">
        <v>0.779</v>
      </c>
    </row>
    <row r="324" customFormat="false" ht="15" hidden="false" customHeight="false" outlineLevel="0" collapsed="false">
      <c r="A324" s="9" t="s">
        <v>403</v>
      </c>
      <c r="B324" s="9" t="s">
        <v>165</v>
      </c>
      <c r="C324" s="9" t="s">
        <v>401</v>
      </c>
      <c r="D324" s="10" t="n">
        <v>8</v>
      </c>
      <c r="E324" s="11" t="n">
        <v>46.5</v>
      </c>
      <c r="F324" s="12" t="n">
        <f aca="false">E324*6</f>
        <v>279</v>
      </c>
      <c r="G324" s="12" t="n">
        <f aca="false">E324*12</f>
        <v>558</v>
      </c>
      <c r="H324" s="11" t="n">
        <v>59.24</v>
      </c>
      <c r="I324" s="11" t="n">
        <v>5977.42</v>
      </c>
      <c r="J324" s="11" t="n">
        <v>1044.73</v>
      </c>
      <c r="K324" s="11" t="n">
        <v>398.49</v>
      </c>
      <c r="L324" s="11" t="n">
        <v>208.95</v>
      </c>
      <c r="M324" s="11" t="n">
        <v>10.04</v>
      </c>
      <c r="N324" s="11" t="n">
        <v>4.2</v>
      </c>
      <c r="O324" s="13" t="n">
        <v>0.766</v>
      </c>
    </row>
    <row r="325" customFormat="false" ht="15" hidden="false" customHeight="false" outlineLevel="0" collapsed="false">
      <c r="A325" s="4" t="s">
        <v>404</v>
      </c>
      <c r="B325" s="4" t="s">
        <v>165</v>
      </c>
      <c r="C325" s="4" t="s">
        <v>401</v>
      </c>
      <c r="D325" s="5" t="n">
        <v>10</v>
      </c>
      <c r="E325" s="6" t="n">
        <v>56.96</v>
      </c>
      <c r="F325" s="7" t="n">
        <f aca="false">E325*6</f>
        <v>341.76</v>
      </c>
      <c r="G325" s="7" t="n">
        <f aca="false">E325*12</f>
        <v>683.52</v>
      </c>
      <c r="H325" s="6" t="n">
        <v>72.56</v>
      </c>
      <c r="I325" s="6" t="n">
        <v>7105.36</v>
      </c>
      <c r="J325" s="6" t="n">
        <v>1224.34</v>
      </c>
      <c r="K325" s="6" t="n">
        <v>473.69</v>
      </c>
      <c r="L325" s="6" t="n">
        <v>244.87</v>
      </c>
      <c r="M325" s="6" t="n">
        <v>9.9</v>
      </c>
      <c r="N325" s="6" t="n">
        <v>4.11</v>
      </c>
      <c r="O325" s="8" t="n">
        <v>0.757</v>
      </c>
    </row>
    <row r="326" customFormat="false" ht="15" hidden="false" customHeight="false" outlineLevel="0" collapsed="false">
      <c r="A326" s="9" t="s">
        <v>405</v>
      </c>
      <c r="B326" s="9" t="s">
        <v>165</v>
      </c>
      <c r="C326" s="9" t="s">
        <v>401</v>
      </c>
      <c r="D326" s="10" t="n">
        <v>12.5</v>
      </c>
      <c r="E326" s="11" t="n">
        <v>68.32</v>
      </c>
      <c r="F326" s="12" t="n">
        <f aca="false">E326*6</f>
        <v>409.92</v>
      </c>
      <c r="G326" s="12" t="n">
        <f aca="false">E326*12</f>
        <v>819.84</v>
      </c>
      <c r="H326" s="11" t="n">
        <v>87.04</v>
      </c>
      <c r="I326" s="11" t="n">
        <v>8008.3</v>
      </c>
      <c r="J326" s="11" t="n">
        <v>1373.8</v>
      </c>
      <c r="K326" s="11" t="n">
        <v>533.89</v>
      </c>
      <c r="L326" s="11" t="n">
        <v>274.76</v>
      </c>
      <c r="M326" s="11" t="n">
        <v>9.59</v>
      </c>
      <c r="N326" s="11" t="n">
        <v>3.97</v>
      </c>
      <c r="O326" s="13" t="n">
        <v>0.736</v>
      </c>
    </row>
    <row r="327" customFormat="false" ht="15" hidden="false" customHeight="false" outlineLevel="0" collapsed="false">
      <c r="A327" s="4" t="s">
        <v>406</v>
      </c>
      <c r="B327" s="4" t="s">
        <v>165</v>
      </c>
      <c r="C327" s="4" t="s">
        <v>407</v>
      </c>
      <c r="D327" s="5" t="n">
        <v>5</v>
      </c>
      <c r="E327" s="6" t="n">
        <v>37.96</v>
      </c>
      <c r="F327" s="7" t="n">
        <f aca="false">E327*6</f>
        <v>227.76</v>
      </c>
      <c r="G327" s="7" t="n">
        <f aca="false">E327*12</f>
        <v>455.52</v>
      </c>
      <c r="H327" s="6" t="n">
        <v>48.36</v>
      </c>
      <c r="I327" s="6" t="n">
        <v>6240.92</v>
      </c>
      <c r="J327" s="6" t="n">
        <v>3360.86</v>
      </c>
      <c r="K327" s="6" t="n">
        <v>416.06</v>
      </c>
      <c r="L327" s="6" t="n">
        <v>336.09</v>
      </c>
      <c r="M327" s="6" t="n">
        <v>11.36</v>
      </c>
      <c r="N327" s="6" t="n">
        <v>8.34</v>
      </c>
      <c r="O327" s="8" t="n">
        <v>0.983</v>
      </c>
    </row>
    <row r="328" customFormat="false" ht="15" hidden="false" customHeight="false" outlineLevel="0" collapsed="false">
      <c r="A328" s="9" t="s">
        <v>408</v>
      </c>
      <c r="B328" s="9" t="s">
        <v>165</v>
      </c>
      <c r="C328" s="9" t="s">
        <v>407</v>
      </c>
      <c r="D328" s="10" t="n">
        <v>6</v>
      </c>
      <c r="E328" s="11" t="n">
        <v>45.24</v>
      </c>
      <c r="F328" s="12" t="n">
        <f aca="false">E328*6</f>
        <v>271.44</v>
      </c>
      <c r="G328" s="12" t="n">
        <f aca="false">E328*12</f>
        <v>542.88</v>
      </c>
      <c r="H328" s="11" t="n">
        <v>57.63</v>
      </c>
      <c r="I328" s="11" t="n">
        <v>7370.04</v>
      </c>
      <c r="J328" s="11" t="n">
        <v>3962.11</v>
      </c>
      <c r="K328" s="11" t="n">
        <v>491.34</v>
      </c>
      <c r="L328" s="11" t="n">
        <v>396.21</v>
      </c>
      <c r="M328" s="11" t="n">
        <v>11.31</v>
      </c>
      <c r="N328" s="11" t="n">
        <v>8.29</v>
      </c>
      <c r="O328" s="13" t="n">
        <v>0.979</v>
      </c>
    </row>
    <row r="329" customFormat="false" ht="15" hidden="false" customHeight="false" outlineLevel="0" collapsed="false">
      <c r="A329" s="4" t="s">
        <v>409</v>
      </c>
      <c r="B329" s="4" t="s">
        <v>165</v>
      </c>
      <c r="C329" s="4" t="s">
        <v>407</v>
      </c>
      <c r="D329" s="5" t="n">
        <v>8</v>
      </c>
      <c r="E329" s="6" t="n">
        <v>59.06</v>
      </c>
      <c r="F329" s="7" t="n">
        <f aca="false">E329*6</f>
        <v>354.36</v>
      </c>
      <c r="G329" s="7" t="n">
        <f aca="false">E329*12</f>
        <v>708.72</v>
      </c>
      <c r="H329" s="6" t="n">
        <v>75.24</v>
      </c>
      <c r="I329" s="6" t="n">
        <v>9388.84</v>
      </c>
      <c r="J329" s="6" t="n">
        <v>5041.48</v>
      </c>
      <c r="K329" s="6" t="n">
        <v>625.92</v>
      </c>
      <c r="L329" s="6" t="n">
        <v>504.15</v>
      </c>
      <c r="M329" s="6" t="n">
        <v>11.17</v>
      </c>
      <c r="N329" s="6" t="n">
        <v>8.19</v>
      </c>
      <c r="O329" s="8" t="n">
        <v>0.966</v>
      </c>
    </row>
    <row r="330" customFormat="false" ht="15" hidden="false" customHeight="false" outlineLevel="0" collapsed="false">
      <c r="A330" s="9" t="s">
        <v>410</v>
      </c>
      <c r="B330" s="9" t="s">
        <v>165</v>
      </c>
      <c r="C330" s="9" t="s">
        <v>407</v>
      </c>
      <c r="D330" s="10" t="n">
        <v>10</v>
      </c>
      <c r="E330" s="11" t="n">
        <v>72.66</v>
      </c>
      <c r="F330" s="12" t="n">
        <f aca="false">E330*6</f>
        <v>435.96</v>
      </c>
      <c r="G330" s="12" t="n">
        <f aca="false">E330*12</f>
        <v>871.92</v>
      </c>
      <c r="H330" s="11" t="n">
        <v>92.56</v>
      </c>
      <c r="I330" s="11" t="n">
        <v>11312.02</v>
      </c>
      <c r="J330" s="11" t="n">
        <v>6057.44</v>
      </c>
      <c r="K330" s="11" t="n">
        <v>754.13</v>
      </c>
      <c r="L330" s="11" t="n">
        <v>605.74</v>
      </c>
      <c r="M330" s="11" t="n">
        <v>11.05</v>
      </c>
      <c r="N330" s="11" t="n">
        <v>8.09</v>
      </c>
      <c r="O330" s="13" t="n">
        <v>0.957</v>
      </c>
    </row>
    <row r="331" customFormat="false" ht="15" hidden="false" customHeight="false" outlineLevel="0" collapsed="false">
      <c r="A331" s="4" t="s">
        <v>411</v>
      </c>
      <c r="B331" s="4" t="s">
        <v>165</v>
      </c>
      <c r="C331" s="4" t="s">
        <v>407</v>
      </c>
      <c r="D331" s="5" t="n">
        <v>12.5</v>
      </c>
      <c r="E331" s="6" t="n">
        <v>87.95</v>
      </c>
      <c r="F331" s="7" t="n">
        <f aca="false">E331*6</f>
        <v>527.7</v>
      </c>
      <c r="G331" s="7" t="n">
        <f aca="false">E331*12</f>
        <v>1055.4</v>
      </c>
      <c r="H331" s="6" t="n">
        <v>112.04</v>
      </c>
      <c r="I331" s="6" t="n">
        <v>13177.57</v>
      </c>
      <c r="J331" s="6" t="n">
        <v>7059.39</v>
      </c>
      <c r="K331" s="6" t="n">
        <v>878.5</v>
      </c>
      <c r="L331" s="6" t="n">
        <v>705.94</v>
      </c>
      <c r="M331" s="6" t="n">
        <v>10.85</v>
      </c>
      <c r="N331" s="6" t="n">
        <v>7.94</v>
      </c>
      <c r="O331" s="8" t="n">
        <v>0.936</v>
      </c>
    </row>
    <row r="332" customFormat="false" ht="15" hidden="false" customHeight="false" outlineLevel="0" collapsed="false">
      <c r="A332" s="9" t="s">
        <v>412</v>
      </c>
      <c r="B332" s="9" t="s">
        <v>165</v>
      </c>
      <c r="C332" s="9" t="s">
        <v>413</v>
      </c>
      <c r="D332" s="10" t="n">
        <v>6</v>
      </c>
      <c r="E332" s="11" t="n">
        <v>54.66</v>
      </c>
      <c r="F332" s="12" t="n">
        <f aca="false">E332*6</f>
        <v>327.96</v>
      </c>
      <c r="G332" s="12" t="n">
        <f aca="false">E332*12</f>
        <v>655.92</v>
      </c>
      <c r="H332" s="11" t="n">
        <v>69.63</v>
      </c>
      <c r="I332" s="11" t="n">
        <v>14789.02</v>
      </c>
      <c r="J332" s="11" t="n">
        <v>5091.55</v>
      </c>
      <c r="K332" s="11" t="n">
        <v>739.45</v>
      </c>
      <c r="L332" s="11" t="n">
        <v>509.15</v>
      </c>
      <c r="M332" s="11" t="n">
        <v>14.57</v>
      </c>
      <c r="N332" s="11" t="n">
        <v>8.55</v>
      </c>
      <c r="O332" s="13" t="n">
        <v>1.179</v>
      </c>
    </row>
    <row r="333" customFormat="false" ht="15" hidden="false" customHeight="false" outlineLevel="0" collapsed="false">
      <c r="A333" s="4" t="s">
        <v>414</v>
      </c>
      <c r="B333" s="4" t="s">
        <v>165</v>
      </c>
      <c r="C333" s="4" t="s">
        <v>413</v>
      </c>
      <c r="D333" s="5" t="n">
        <v>8</v>
      </c>
      <c r="E333" s="6" t="n">
        <v>71.62</v>
      </c>
      <c r="F333" s="7" t="n">
        <f aca="false">E333*6</f>
        <v>429.72</v>
      </c>
      <c r="G333" s="7" t="n">
        <f aca="false">E333*12</f>
        <v>859.44</v>
      </c>
      <c r="H333" s="6" t="n">
        <v>91.24</v>
      </c>
      <c r="I333" s="6" t="n">
        <v>18973.63</v>
      </c>
      <c r="J333" s="6" t="n">
        <v>6516.89</v>
      </c>
      <c r="K333" s="6" t="n">
        <v>948.68</v>
      </c>
      <c r="L333" s="6" t="n">
        <v>651.69</v>
      </c>
      <c r="M333" s="6" t="n">
        <v>14.42</v>
      </c>
      <c r="N333" s="6" t="n">
        <v>8.45</v>
      </c>
      <c r="O333" s="8" t="n">
        <v>1.166</v>
      </c>
    </row>
    <row r="334" customFormat="false" ht="15" hidden="false" customHeight="false" outlineLevel="0" collapsed="false">
      <c r="A334" s="9" t="s">
        <v>415</v>
      </c>
      <c r="B334" s="9" t="s">
        <v>165</v>
      </c>
      <c r="C334" s="9" t="s">
        <v>413</v>
      </c>
      <c r="D334" s="10" t="n">
        <v>10</v>
      </c>
      <c r="E334" s="11" t="n">
        <v>88.36</v>
      </c>
      <c r="F334" s="12" t="n">
        <f aca="false">E334*6</f>
        <v>530.16</v>
      </c>
      <c r="G334" s="12" t="n">
        <f aca="false">E334*12</f>
        <v>1060.32</v>
      </c>
      <c r="H334" s="11" t="n">
        <v>112.56</v>
      </c>
      <c r="I334" s="11" t="n">
        <v>23001.43</v>
      </c>
      <c r="J334" s="11" t="n">
        <v>7864.11</v>
      </c>
      <c r="K334" s="11" t="n">
        <v>1150.07</v>
      </c>
      <c r="L334" s="11" t="n">
        <v>786.41</v>
      </c>
      <c r="M334" s="11" t="n">
        <v>14.29</v>
      </c>
      <c r="N334" s="11" t="n">
        <v>8.36</v>
      </c>
      <c r="O334" s="13" t="n">
        <v>1.157</v>
      </c>
    </row>
    <row r="335" customFormat="false" ht="15" hidden="false" customHeight="false" outlineLevel="0" collapsed="false">
      <c r="A335" s="4" t="s">
        <v>416</v>
      </c>
      <c r="B335" s="4" t="s">
        <v>165</v>
      </c>
      <c r="C335" s="4" t="s">
        <v>413</v>
      </c>
      <c r="D335" s="5" t="n">
        <v>12.5</v>
      </c>
      <c r="E335" s="6" t="n">
        <v>107.57</v>
      </c>
      <c r="F335" s="7" t="n">
        <f aca="false">E335*6</f>
        <v>645.42</v>
      </c>
      <c r="G335" s="7" t="n">
        <f aca="false">E335*12</f>
        <v>1290.84</v>
      </c>
      <c r="H335" s="6" t="n">
        <v>137.04</v>
      </c>
      <c r="I335" s="6" t="n">
        <v>27098.15</v>
      </c>
      <c r="J335" s="6" t="n">
        <v>9259.91</v>
      </c>
      <c r="K335" s="6" t="n">
        <v>1354.91</v>
      </c>
      <c r="L335" s="6" t="n">
        <v>925.99</v>
      </c>
      <c r="M335" s="6" t="n">
        <v>14.06</v>
      </c>
      <c r="N335" s="6" t="n">
        <v>8.22</v>
      </c>
      <c r="O335" s="8" t="n">
        <v>1.136</v>
      </c>
    </row>
  </sheetData>
  <autoFilter ref="A4:O3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10" min="7" style="0" width="10"/>
    <col collapsed="false" customWidth="true" hidden="false" outlineLevel="0" max="11" min="11" style="0" width="21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419</v>
      </c>
      <c r="I4" s="3" t="s">
        <v>420</v>
      </c>
      <c r="J4" s="3" t="s">
        <v>421</v>
      </c>
      <c r="K4" s="3" t="s">
        <v>16</v>
      </c>
    </row>
    <row r="5" customFormat="false" ht="15" hidden="false" customHeight="false" outlineLevel="0" collapsed="false">
      <c r="A5" s="4" t="s">
        <v>422</v>
      </c>
      <c r="B5" s="4" t="s">
        <v>423</v>
      </c>
      <c r="C5" s="5" t="n">
        <v>2</v>
      </c>
      <c r="D5" s="6" t="n">
        <v>0.95</v>
      </c>
      <c r="E5" s="7" t="n">
        <f aca="false">D5*6</f>
        <v>5.7</v>
      </c>
      <c r="F5" s="7" t="n">
        <f aca="false">D5*12</f>
        <v>11.4</v>
      </c>
      <c r="G5" s="6" t="n">
        <v>1.21</v>
      </c>
      <c r="H5" s="6" t="n">
        <v>0.57</v>
      </c>
      <c r="I5" s="6" t="n">
        <v>0.54</v>
      </c>
      <c r="J5" s="6" t="n">
        <v>0.69</v>
      </c>
      <c r="K5" s="8" t="n">
        <v>0.067</v>
      </c>
    </row>
    <row r="6" customFormat="false" ht="15" hidden="false" customHeight="false" outlineLevel="0" collapsed="false">
      <c r="A6" s="9" t="s">
        <v>424</v>
      </c>
      <c r="B6" s="9" t="s">
        <v>423</v>
      </c>
      <c r="C6" s="10" t="n">
        <v>2.3</v>
      </c>
      <c r="D6" s="11" t="n">
        <v>1.08</v>
      </c>
      <c r="E6" s="12" t="n">
        <f aca="false">D6*6</f>
        <v>6.48</v>
      </c>
      <c r="F6" s="12" t="n">
        <f aca="false">D6*12</f>
        <v>12.96</v>
      </c>
      <c r="G6" s="11" t="n">
        <v>1.37</v>
      </c>
      <c r="H6" s="11" t="n">
        <v>0.63</v>
      </c>
      <c r="I6" s="11" t="n">
        <v>0.59</v>
      </c>
      <c r="J6" s="11" t="n">
        <v>0.68</v>
      </c>
      <c r="K6" s="13" t="n">
        <v>0.067</v>
      </c>
    </row>
    <row r="7" customFormat="false" ht="15" hidden="false" customHeight="false" outlineLevel="0" collapsed="false">
      <c r="A7" s="4" t="s">
        <v>425</v>
      </c>
      <c r="B7" s="4" t="s">
        <v>423</v>
      </c>
      <c r="C7" s="5" t="n">
        <v>2.6</v>
      </c>
      <c r="D7" s="6" t="n">
        <v>1.2</v>
      </c>
      <c r="E7" s="7" t="n">
        <f aca="false">D7*6</f>
        <v>7.2</v>
      </c>
      <c r="F7" s="7" t="n">
        <f aca="false">D7*12</f>
        <v>14.4</v>
      </c>
      <c r="G7" s="6" t="n">
        <v>1.53</v>
      </c>
      <c r="H7" s="6" t="n">
        <v>0.68</v>
      </c>
      <c r="I7" s="6" t="n">
        <v>0.64</v>
      </c>
      <c r="J7" s="6" t="n">
        <v>0.67</v>
      </c>
      <c r="K7" s="8" t="n">
        <v>0.067</v>
      </c>
    </row>
    <row r="8" customFormat="false" ht="15" hidden="false" customHeight="false" outlineLevel="0" collapsed="false">
      <c r="A8" s="9" t="s">
        <v>426</v>
      </c>
      <c r="B8" s="9" t="s">
        <v>423</v>
      </c>
      <c r="C8" s="10" t="n">
        <v>2.9</v>
      </c>
      <c r="D8" s="11" t="n">
        <v>1.32</v>
      </c>
      <c r="E8" s="12" t="n">
        <f aca="false">D8*6</f>
        <v>7.92</v>
      </c>
      <c r="F8" s="12" t="n">
        <f aca="false">D8*12</f>
        <v>15.84</v>
      </c>
      <c r="G8" s="11" t="n">
        <v>1.68</v>
      </c>
      <c r="H8" s="11" t="n">
        <v>0.73</v>
      </c>
      <c r="I8" s="11" t="n">
        <v>0.68</v>
      </c>
      <c r="J8" s="11" t="n">
        <v>0.66</v>
      </c>
      <c r="K8" s="13" t="n">
        <v>0.067</v>
      </c>
    </row>
    <row r="9" customFormat="false" ht="15" hidden="false" customHeight="false" outlineLevel="0" collapsed="false">
      <c r="A9" s="4" t="s">
        <v>427</v>
      </c>
      <c r="B9" s="4" t="s">
        <v>423</v>
      </c>
      <c r="C9" s="5" t="n">
        <v>3.2</v>
      </c>
      <c r="D9" s="6" t="n">
        <v>1.43</v>
      </c>
      <c r="E9" s="7" t="n">
        <f aca="false">D9*6</f>
        <v>8.58</v>
      </c>
      <c r="F9" s="7" t="n">
        <f aca="false">D9*12</f>
        <v>17.16</v>
      </c>
      <c r="G9" s="6" t="n">
        <v>1.82</v>
      </c>
      <c r="H9" s="6" t="n">
        <v>0.77</v>
      </c>
      <c r="I9" s="6" t="n">
        <v>0.72</v>
      </c>
      <c r="J9" s="6" t="n">
        <v>0.65</v>
      </c>
      <c r="K9" s="8" t="n">
        <v>0.067</v>
      </c>
    </row>
    <row r="10" customFormat="false" ht="15" hidden="false" customHeight="false" outlineLevel="0" collapsed="false">
      <c r="A10" s="9" t="s">
        <v>428</v>
      </c>
      <c r="B10" s="9" t="s">
        <v>429</v>
      </c>
      <c r="C10" s="10" t="n">
        <v>2</v>
      </c>
      <c r="D10" s="11" t="n">
        <v>1.23</v>
      </c>
      <c r="E10" s="12" t="n">
        <f aca="false">D10*6</f>
        <v>7.38</v>
      </c>
      <c r="F10" s="12" t="n">
        <f aca="false">D10*12</f>
        <v>14.76</v>
      </c>
      <c r="G10" s="11" t="n">
        <v>1.56</v>
      </c>
      <c r="H10" s="11" t="n">
        <v>1.22</v>
      </c>
      <c r="I10" s="11" t="n">
        <v>0.91</v>
      </c>
      <c r="J10" s="11" t="n">
        <v>0.88</v>
      </c>
      <c r="K10" s="13" t="n">
        <v>0.085</v>
      </c>
    </row>
    <row r="11" customFormat="false" ht="15" hidden="false" customHeight="false" outlineLevel="0" collapsed="false">
      <c r="A11" s="4" t="s">
        <v>430</v>
      </c>
      <c r="B11" s="4" t="s">
        <v>429</v>
      </c>
      <c r="C11" s="5" t="n">
        <v>2.3</v>
      </c>
      <c r="D11" s="6" t="n">
        <v>1.4</v>
      </c>
      <c r="E11" s="7" t="n">
        <f aca="false">D11*6</f>
        <v>8.4</v>
      </c>
      <c r="F11" s="7" t="n">
        <f aca="false">D11*12</f>
        <v>16.8</v>
      </c>
      <c r="G11" s="6" t="n">
        <v>1.78</v>
      </c>
      <c r="H11" s="6" t="n">
        <v>1.36</v>
      </c>
      <c r="I11" s="6" t="n">
        <v>1.01</v>
      </c>
      <c r="J11" s="6" t="n">
        <v>0.87</v>
      </c>
      <c r="K11" s="8" t="n">
        <v>0.085</v>
      </c>
    </row>
    <row r="12" customFormat="false" ht="15" hidden="false" customHeight="false" outlineLevel="0" collapsed="false">
      <c r="A12" s="9" t="s">
        <v>431</v>
      </c>
      <c r="B12" s="9" t="s">
        <v>429</v>
      </c>
      <c r="C12" s="10" t="n">
        <v>2.6</v>
      </c>
      <c r="D12" s="11" t="n">
        <v>1.56</v>
      </c>
      <c r="E12" s="12" t="n">
        <f aca="false">D12*6</f>
        <v>9.36</v>
      </c>
      <c r="F12" s="12" t="n">
        <f aca="false">D12*12</f>
        <v>18.72</v>
      </c>
      <c r="G12" s="11" t="n">
        <v>1.98</v>
      </c>
      <c r="H12" s="11" t="n">
        <v>1.48</v>
      </c>
      <c r="I12" s="11" t="n">
        <v>1.1</v>
      </c>
      <c r="J12" s="11" t="n">
        <v>0.86</v>
      </c>
      <c r="K12" s="13" t="n">
        <v>0.085</v>
      </c>
    </row>
    <row r="13" customFormat="false" ht="15" hidden="false" customHeight="false" outlineLevel="0" collapsed="false">
      <c r="A13" s="4" t="s">
        <v>432</v>
      </c>
      <c r="B13" s="4" t="s">
        <v>429</v>
      </c>
      <c r="C13" s="5" t="n">
        <v>2.9</v>
      </c>
      <c r="D13" s="6" t="n">
        <v>1.72</v>
      </c>
      <c r="E13" s="7" t="n">
        <f aca="false">D13*6</f>
        <v>10.32</v>
      </c>
      <c r="F13" s="7" t="n">
        <f aca="false">D13*12</f>
        <v>20.64</v>
      </c>
      <c r="G13" s="6" t="n">
        <v>2.19</v>
      </c>
      <c r="H13" s="6" t="n">
        <v>1.6</v>
      </c>
      <c r="I13" s="6" t="n">
        <v>1.19</v>
      </c>
      <c r="J13" s="6" t="n">
        <v>0.85</v>
      </c>
      <c r="K13" s="8" t="n">
        <v>0.085</v>
      </c>
    </row>
    <row r="14" customFormat="false" ht="15" hidden="false" customHeight="false" outlineLevel="0" collapsed="false">
      <c r="A14" s="9" t="s">
        <v>433</v>
      </c>
      <c r="B14" s="9" t="s">
        <v>429</v>
      </c>
      <c r="C14" s="10" t="n">
        <v>3.2</v>
      </c>
      <c r="D14" s="11" t="n">
        <v>1.87</v>
      </c>
      <c r="E14" s="12" t="n">
        <f aca="false">D14*6</f>
        <v>11.22</v>
      </c>
      <c r="F14" s="12" t="n">
        <f aca="false">D14*12</f>
        <v>22.44</v>
      </c>
      <c r="G14" s="11" t="n">
        <v>2.38</v>
      </c>
      <c r="H14" s="11" t="n">
        <v>1.7</v>
      </c>
      <c r="I14" s="11" t="n">
        <v>1.27</v>
      </c>
      <c r="J14" s="11" t="n">
        <v>0.85</v>
      </c>
      <c r="K14" s="13" t="n">
        <v>0.085</v>
      </c>
    </row>
    <row r="15" customFormat="false" ht="15" hidden="false" customHeight="false" outlineLevel="0" collapsed="false">
      <c r="A15" s="4" t="s">
        <v>434</v>
      </c>
      <c r="B15" s="4" t="s">
        <v>435</v>
      </c>
      <c r="C15" s="5" t="n">
        <v>2</v>
      </c>
      <c r="D15" s="6" t="n">
        <v>1.56</v>
      </c>
      <c r="E15" s="7" t="n">
        <f aca="false">D15*6</f>
        <v>9.36</v>
      </c>
      <c r="F15" s="7" t="n">
        <f aca="false">D15*12</f>
        <v>18.72</v>
      </c>
      <c r="G15" s="6" t="n">
        <v>1.99</v>
      </c>
      <c r="H15" s="6" t="n">
        <v>2.51</v>
      </c>
      <c r="I15" s="6" t="n">
        <v>1.49</v>
      </c>
      <c r="J15" s="6" t="n">
        <v>1.12</v>
      </c>
      <c r="K15" s="8" t="n">
        <v>0.106</v>
      </c>
    </row>
    <row r="16" customFormat="false" ht="15" hidden="false" customHeight="false" outlineLevel="0" collapsed="false">
      <c r="A16" s="9" t="s">
        <v>436</v>
      </c>
      <c r="B16" s="9" t="s">
        <v>435</v>
      </c>
      <c r="C16" s="10" t="n">
        <v>2.6</v>
      </c>
      <c r="D16" s="11" t="n">
        <v>1.99</v>
      </c>
      <c r="E16" s="12" t="n">
        <f aca="false">D16*6</f>
        <v>11.94</v>
      </c>
      <c r="F16" s="12" t="n">
        <f aca="false">D16*12</f>
        <v>23.88</v>
      </c>
      <c r="G16" s="11" t="n">
        <v>2.54</v>
      </c>
      <c r="H16" s="11" t="n">
        <v>3.09</v>
      </c>
      <c r="I16" s="11" t="n">
        <v>1.84</v>
      </c>
      <c r="J16" s="11" t="n">
        <v>1.1</v>
      </c>
      <c r="K16" s="13" t="n">
        <v>0.106</v>
      </c>
    </row>
    <row r="17" customFormat="false" ht="15" hidden="false" customHeight="false" outlineLevel="0" collapsed="false">
      <c r="A17" s="4" t="s">
        <v>437</v>
      </c>
      <c r="B17" s="4" t="s">
        <v>435</v>
      </c>
      <c r="C17" s="5" t="n">
        <v>2.9</v>
      </c>
      <c r="D17" s="6" t="n">
        <v>2.2</v>
      </c>
      <c r="E17" s="7" t="n">
        <f aca="false">D17*6</f>
        <v>13.2</v>
      </c>
      <c r="F17" s="7" t="n">
        <f aca="false">D17*12</f>
        <v>26.4</v>
      </c>
      <c r="G17" s="6" t="n">
        <v>2.81</v>
      </c>
      <c r="H17" s="6" t="n">
        <v>3.36</v>
      </c>
      <c r="I17" s="6" t="n">
        <v>1.99</v>
      </c>
      <c r="J17" s="6" t="n">
        <v>1.09</v>
      </c>
      <c r="K17" s="8" t="n">
        <v>0.106</v>
      </c>
    </row>
    <row r="18" customFormat="false" ht="15" hidden="false" customHeight="false" outlineLevel="0" collapsed="false">
      <c r="A18" s="9" t="s">
        <v>438</v>
      </c>
      <c r="B18" s="9" t="s">
        <v>435</v>
      </c>
      <c r="C18" s="10" t="n">
        <v>3.2</v>
      </c>
      <c r="D18" s="11" t="n">
        <v>2.41</v>
      </c>
      <c r="E18" s="12" t="n">
        <f aca="false">D18*6</f>
        <v>14.46</v>
      </c>
      <c r="F18" s="12" t="n">
        <f aca="false">D18*12</f>
        <v>28.92</v>
      </c>
      <c r="G18" s="11" t="n">
        <v>3.07</v>
      </c>
      <c r="H18" s="11" t="n">
        <v>3.6</v>
      </c>
      <c r="I18" s="11" t="n">
        <v>2.14</v>
      </c>
      <c r="J18" s="11" t="n">
        <v>1.08</v>
      </c>
      <c r="K18" s="13" t="n">
        <v>0.106</v>
      </c>
    </row>
    <row r="19" customFormat="false" ht="15" hidden="false" customHeight="false" outlineLevel="0" collapsed="false">
      <c r="A19" s="4" t="s">
        <v>439</v>
      </c>
      <c r="B19" s="4" t="s">
        <v>435</v>
      </c>
      <c r="C19" s="5" t="n">
        <v>4</v>
      </c>
      <c r="D19" s="6" t="n">
        <v>2.93</v>
      </c>
      <c r="E19" s="7" t="n">
        <f aca="false">D19*6</f>
        <v>17.58</v>
      </c>
      <c r="F19" s="7" t="n">
        <f aca="false">D19*12</f>
        <v>35.16</v>
      </c>
      <c r="G19" s="6" t="n">
        <v>3.73</v>
      </c>
      <c r="H19" s="6" t="n">
        <v>4.19</v>
      </c>
      <c r="I19" s="6" t="n">
        <v>2.49</v>
      </c>
      <c r="J19" s="6" t="n">
        <v>1.06</v>
      </c>
      <c r="K19" s="8" t="n">
        <v>0.106</v>
      </c>
    </row>
    <row r="20" customFormat="false" ht="15" hidden="false" customHeight="false" outlineLevel="0" collapsed="false">
      <c r="A20" s="9" t="s">
        <v>440</v>
      </c>
      <c r="B20" s="9" t="s">
        <v>441</v>
      </c>
      <c r="C20" s="10" t="n">
        <v>2</v>
      </c>
      <c r="D20" s="11" t="n">
        <v>1.99</v>
      </c>
      <c r="E20" s="12" t="n">
        <f aca="false">D20*6</f>
        <v>11.94</v>
      </c>
      <c r="F20" s="12" t="n">
        <f aca="false">D20*12</f>
        <v>23.88</v>
      </c>
      <c r="G20" s="11" t="n">
        <v>2.54</v>
      </c>
      <c r="H20" s="11" t="n">
        <v>5.19</v>
      </c>
      <c r="I20" s="11" t="n">
        <v>2.45</v>
      </c>
      <c r="J20" s="11" t="n">
        <v>1.43</v>
      </c>
      <c r="K20" s="13" t="n">
        <v>0.133</v>
      </c>
    </row>
    <row r="21" customFormat="false" ht="15" hidden="false" customHeight="false" outlineLevel="0" collapsed="false">
      <c r="A21" s="4" t="s">
        <v>442</v>
      </c>
      <c r="B21" s="4" t="s">
        <v>441</v>
      </c>
      <c r="C21" s="5" t="n">
        <v>2.6</v>
      </c>
      <c r="D21" s="6" t="n">
        <v>2.55</v>
      </c>
      <c r="E21" s="7" t="n">
        <f aca="false">D21*6</f>
        <v>15.3</v>
      </c>
      <c r="F21" s="7" t="n">
        <f aca="false">D21*12</f>
        <v>30.6</v>
      </c>
      <c r="G21" s="6" t="n">
        <v>3.25</v>
      </c>
      <c r="H21" s="6" t="n">
        <v>6.46</v>
      </c>
      <c r="I21" s="6" t="n">
        <v>3.05</v>
      </c>
      <c r="J21" s="6" t="n">
        <v>1.41</v>
      </c>
      <c r="K21" s="8" t="n">
        <v>0.133</v>
      </c>
    </row>
    <row r="22" customFormat="false" ht="15" hidden="false" customHeight="false" outlineLevel="0" collapsed="false">
      <c r="A22" s="9" t="s">
        <v>443</v>
      </c>
      <c r="B22" s="9" t="s">
        <v>441</v>
      </c>
      <c r="C22" s="10" t="n">
        <v>2.9</v>
      </c>
      <c r="D22" s="11" t="n">
        <v>2.82</v>
      </c>
      <c r="E22" s="12" t="n">
        <f aca="false">D22*6</f>
        <v>16.92</v>
      </c>
      <c r="F22" s="12" t="n">
        <f aca="false">D22*12</f>
        <v>33.84</v>
      </c>
      <c r="G22" s="11" t="n">
        <v>3.6</v>
      </c>
      <c r="H22" s="11" t="n">
        <v>7.06</v>
      </c>
      <c r="I22" s="11" t="n">
        <v>3.33</v>
      </c>
      <c r="J22" s="11" t="n">
        <v>1.4</v>
      </c>
      <c r="K22" s="13" t="n">
        <v>0.133</v>
      </c>
    </row>
    <row r="23" customFormat="false" ht="15" hidden="false" customHeight="false" outlineLevel="0" collapsed="false">
      <c r="A23" s="4" t="s">
        <v>444</v>
      </c>
      <c r="B23" s="4" t="s">
        <v>441</v>
      </c>
      <c r="C23" s="5" t="n">
        <v>3.2</v>
      </c>
      <c r="D23" s="6" t="n">
        <v>3.09</v>
      </c>
      <c r="E23" s="7" t="n">
        <f aca="false">D23*6</f>
        <v>18.54</v>
      </c>
      <c r="F23" s="7" t="n">
        <f aca="false">D23*12</f>
        <v>37.08</v>
      </c>
      <c r="G23" s="6" t="n">
        <v>3.94</v>
      </c>
      <c r="H23" s="6" t="n">
        <v>7.62</v>
      </c>
      <c r="I23" s="6" t="n">
        <v>3.59</v>
      </c>
      <c r="J23" s="6" t="n">
        <v>1.39</v>
      </c>
      <c r="K23" s="8" t="n">
        <v>0.133</v>
      </c>
    </row>
    <row r="24" customFormat="false" ht="15" hidden="false" customHeight="false" outlineLevel="0" collapsed="false">
      <c r="A24" s="9" t="s">
        <v>445</v>
      </c>
      <c r="B24" s="9" t="s">
        <v>441</v>
      </c>
      <c r="C24" s="10" t="n">
        <v>4</v>
      </c>
      <c r="D24" s="11" t="n">
        <v>3.79</v>
      </c>
      <c r="E24" s="12" t="n">
        <f aca="false">D24*6</f>
        <v>22.74</v>
      </c>
      <c r="F24" s="12" t="n">
        <f aca="false">D24*12</f>
        <v>45.48</v>
      </c>
      <c r="G24" s="11" t="n">
        <v>4.83</v>
      </c>
      <c r="H24" s="11" t="n">
        <v>8.99</v>
      </c>
      <c r="I24" s="11" t="n">
        <v>4.24</v>
      </c>
      <c r="J24" s="11" t="n">
        <v>1.36</v>
      </c>
      <c r="K24" s="13" t="n">
        <v>0.133</v>
      </c>
    </row>
    <row r="25" customFormat="false" ht="15" hidden="false" customHeight="false" outlineLevel="0" collapsed="false">
      <c r="A25" s="4" t="s">
        <v>446</v>
      </c>
      <c r="B25" s="4" t="s">
        <v>447</v>
      </c>
      <c r="C25" s="5" t="n">
        <v>2</v>
      </c>
      <c r="D25" s="6" t="n">
        <v>2.28</v>
      </c>
      <c r="E25" s="7" t="n">
        <f aca="false">D25*6</f>
        <v>13.68</v>
      </c>
      <c r="F25" s="7" t="n">
        <f aca="false">D25*12</f>
        <v>27.36</v>
      </c>
      <c r="G25" s="6" t="n">
        <v>2.91</v>
      </c>
      <c r="H25" s="6" t="n">
        <v>7.81</v>
      </c>
      <c r="I25" s="6" t="n">
        <v>3.23</v>
      </c>
      <c r="J25" s="6" t="n">
        <v>1.64</v>
      </c>
      <c r="K25" s="8" t="n">
        <v>0.152</v>
      </c>
    </row>
    <row r="26" customFormat="false" ht="15" hidden="false" customHeight="false" outlineLevel="0" collapsed="false">
      <c r="A26" s="9" t="s">
        <v>448</v>
      </c>
      <c r="B26" s="9" t="s">
        <v>447</v>
      </c>
      <c r="C26" s="10" t="n">
        <v>2.6</v>
      </c>
      <c r="D26" s="11" t="n">
        <v>2.93</v>
      </c>
      <c r="E26" s="12" t="n">
        <f aca="false">D26*6</f>
        <v>17.58</v>
      </c>
      <c r="F26" s="12" t="n">
        <f aca="false">D26*12</f>
        <v>35.16</v>
      </c>
      <c r="G26" s="11" t="n">
        <v>3.73</v>
      </c>
      <c r="H26" s="11" t="n">
        <v>9.78</v>
      </c>
      <c r="I26" s="11" t="n">
        <v>4.05</v>
      </c>
      <c r="J26" s="11" t="n">
        <v>1.62</v>
      </c>
      <c r="K26" s="13" t="n">
        <v>0.152</v>
      </c>
    </row>
    <row r="27" customFormat="false" ht="15" hidden="false" customHeight="false" outlineLevel="0" collapsed="false">
      <c r="A27" s="4" t="s">
        <v>449</v>
      </c>
      <c r="B27" s="4" t="s">
        <v>447</v>
      </c>
      <c r="C27" s="5" t="n">
        <v>2.9</v>
      </c>
      <c r="D27" s="6" t="n">
        <v>3.25</v>
      </c>
      <c r="E27" s="7" t="n">
        <f aca="false">D27*6</f>
        <v>19.5</v>
      </c>
      <c r="F27" s="7" t="n">
        <f aca="false">D27*12</f>
        <v>39</v>
      </c>
      <c r="G27" s="6" t="n">
        <v>4.14</v>
      </c>
      <c r="H27" s="6" t="n">
        <v>10.7</v>
      </c>
      <c r="I27" s="6" t="n">
        <v>4.43</v>
      </c>
      <c r="J27" s="6" t="n">
        <v>1.61</v>
      </c>
      <c r="K27" s="8" t="n">
        <v>0.152</v>
      </c>
    </row>
    <row r="28" customFormat="false" ht="15" hidden="false" customHeight="false" outlineLevel="0" collapsed="false">
      <c r="A28" s="9" t="s">
        <v>450</v>
      </c>
      <c r="B28" s="9" t="s">
        <v>447</v>
      </c>
      <c r="C28" s="10" t="n">
        <v>3.2</v>
      </c>
      <c r="D28" s="11" t="n">
        <v>3.56</v>
      </c>
      <c r="E28" s="12" t="n">
        <f aca="false">D28*6</f>
        <v>21.36</v>
      </c>
      <c r="F28" s="12" t="n">
        <f aca="false">D28*12</f>
        <v>42.72</v>
      </c>
      <c r="G28" s="11" t="n">
        <v>4.53</v>
      </c>
      <c r="H28" s="11" t="n">
        <v>11.59</v>
      </c>
      <c r="I28" s="11" t="n">
        <v>4.8</v>
      </c>
      <c r="J28" s="11" t="n">
        <v>1.6</v>
      </c>
      <c r="K28" s="13" t="n">
        <v>0.152</v>
      </c>
    </row>
    <row r="29" customFormat="false" ht="15" hidden="false" customHeight="false" outlineLevel="0" collapsed="false">
      <c r="A29" s="4" t="s">
        <v>451</v>
      </c>
      <c r="B29" s="4" t="s">
        <v>447</v>
      </c>
      <c r="C29" s="5" t="n">
        <v>4</v>
      </c>
      <c r="D29" s="6" t="n">
        <v>4.37</v>
      </c>
      <c r="E29" s="7" t="n">
        <f aca="false">D29*6</f>
        <v>26.22</v>
      </c>
      <c r="F29" s="7" t="n">
        <f aca="false">D29*12</f>
        <v>52.44</v>
      </c>
      <c r="G29" s="6" t="n">
        <v>5.57</v>
      </c>
      <c r="H29" s="6" t="n">
        <v>13.77</v>
      </c>
      <c r="I29" s="6" t="n">
        <v>5.7</v>
      </c>
      <c r="J29" s="6" t="n">
        <v>1.57</v>
      </c>
      <c r="K29" s="8" t="n">
        <v>0.152</v>
      </c>
    </row>
    <row r="30" customFormat="false" ht="15" hidden="false" customHeight="false" outlineLevel="0" collapsed="false">
      <c r="A30" s="9" t="s">
        <v>452</v>
      </c>
      <c r="B30" s="9" t="s">
        <v>447</v>
      </c>
      <c r="C30" s="10" t="n">
        <v>5</v>
      </c>
      <c r="D30" s="11" t="n">
        <v>5.34</v>
      </c>
      <c r="E30" s="12" t="n">
        <f aca="false">D30*6</f>
        <v>32.04</v>
      </c>
      <c r="F30" s="12" t="n">
        <f aca="false">D30*12</f>
        <v>64.08</v>
      </c>
      <c r="G30" s="11" t="n">
        <v>6.8</v>
      </c>
      <c r="H30" s="11" t="n">
        <v>16.15</v>
      </c>
      <c r="I30" s="11" t="n">
        <v>6.69</v>
      </c>
      <c r="J30" s="11" t="n">
        <v>1.54</v>
      </c>
      <c r="K30" s="13" t="n">
        <v>0.152</v>
      </c>
    </row>
    <row r="31" customFormat="false" ht="15" hidden="false" customHeight="false" outlineLevel="0" collapsed="false">
      <c r="A31" s="4" t="s">
        <v>453</v>
      </c>
      <c r="B31" s="4" t="s">
        <v>454</v>
      </c>
      <c r="C31" s="5" t="n">
        <v>2</v>
      </c>
      <c r="D31" s="6" t="n">
        <v>2.88</v>
      </c>
      <c r="E31" s="7" t="n">
        <f aca="false">D31*6</f>
        <v>17.28</v>
      </c>
      <c r="F31" s="7" t="n">
        <f aca="false">D31*12</f>
        <v>34.56</v>
      </c>
      <c r="G31" s="6" t="n">
        <v>3.66</v>
      </c>
      <c r="H31" s="6" t="n">
        <v>15.58</v>
      </c>
      <c r="I31" s="6" t="n">
        <v>5.17</v>
      </c>
      <c r="J31" s="6" t="n">
        <v>2.06</v>
      </c>
      <c r="K31" s="8" t="n">
        <v>0.189</v>
      </c>
    </row>
    <row r="32" customFormat="false" ht="15" hidden="false" customHeight="false" outlineLevel="0" collapsed="false">
      <c r="A32" s="9" t="s">
        <v>455</v>
      </c>
      <c r="B32" s="9" t="s">
        <v>454</v>
      </c>
      <c r="C32" s="10" t="n">
        <v>2.6</v>
      </c>
      <c r="D32" s="11" t="n">
        <v>3.7</v>
      </c>
      <c r="E32" s="12" t="n">
        <f aca="false">D32*6</f>
        <v>22.2</v>
      </c>
      <c r="F32" s="12" t="n">
        <f aca="false">D32*12</f>
        <v>44.4</v>
      </c>
      <c r="G32" s="11" t="n">
        <v>4.71</v>
      </c>
      <c r="H32" s="11" t="n">
        <v>19.65</v>
      </c>
      <c r="I32" s="11" t="n">
        <v>6.52</v>
      </c>
      <c r="J32" s="11" t="n">
        <v>2.04</v>
      </c>
      <c r="K32" s="13" t="n">
        <v>0.189</v>
      </c>
    </row>
    <row r="33" customFormat="false" ht="15" hidden="false" customHeight="false" outlineLevel="0" collapsed="false">
      <c r="A33" s="4" t="s">
        <v>456</v>
      </c>
      <c r="B33" s="4" t="s">
        <v>454</v>
      </c>
      <c r="C33" s="5" t="n">
        <v>2.9</v>
      </c>
      <c r="D33" s="6" t="n">
        <v>4.11</v>
      </c>
      <c r="E33" s="7" t="n">
        <f aca="false">D33*6</f>
        <v>24.66</v>
      </c>
      <c r="F33" s="7" t="n">
        <f aca="false">D33*12</f>
        <v>49.32</v>
      </c>
      <c r="G33" s="6" t="n">
        <v>5.23</v>
      </c>
      <c r="H33" s="6" t="n">
        <v>21.59</v>
      </c>
      <c r="I33" s="6" t="n">
        <v>7.16</v>
      </c>
      <c r="J33" s="6" t="n">
        <v>2.03</v>
      </c>
      <c r="K33" s="8" t="n">
        <v>0.189</v>
      </c>
    </row>
    <row r="34" customFormat="false" ht="15" hidden="false" customHeight="false" outlineLevel="0" collapsed="false">
      <c r="A34" s="9" t="s">
        <v>457</v>
      </c>
      <c r="B34" s="9" t="s">
        <v>454</v>
      </c>
      <c r="C34" s="10" t="n">
        <v>3.2</v>
      </c>
      <c r="D34" s="11" t="n">
        <v>4.51</v>
      </c>
      <c r="E34" s="12" t="n">
        <f aca="false">D34*6</f>
        <v>27.06</v>
      </c>
      <c r="F34" s="12" t="n">
        <f aca="false">D34*12</f>
        <v>54.12</v>
      </c>
      <c r="G34" s="11" t="n">
        <v>5.74</v>
      </c>
      <c r="H34" s="11" t="n">
        <v>23.47</v>
      </c>
      <c r="I34" s="11" t="n">
        <v>7.78</v>
      </c>
      <c r="J34" s="11" t="n">
        <v>2.02</v>
      </c>
      <c r="K34" s="13" t="n">
        <v>0.189</v>
      </c>
    </row>
    <row r="35" customFormat="false" ht="15" hidden="false" customHeight="false" outlineLevel="0" collapsed="false">
      <c r="A35" s="4" t="s">
        <v>458</v>
      </c>
      <c r="B35" s="4" t="s">
        <v>454</v>
      </c>
      <c r="C35" s="5" t="n">
        <v>3.6</v>
      </c>
      <c r="D35" s="6" t="n">
        <v>5.03</v>
      </c>
      <c r="E35" s="7" t="n">
        <f aca="false">D35*6</f>
        <v>30.18</v>
      </c>
      <c r="F35" s="7" t="n">
        <f aca="false">D35*12</f>
        <v>60.36</v>
      </c>
      <c r="G35" s="6" t="n">
        <v>6.41</v>
      </c>
      <c r="H35" s="6" t="n">
        <v>25.87</v>
      </c>
      <c r="I35" s="6" t="n">
        <v>8.58</v>
      </c>
      <c r="J35" s="6" t="n">
        <v>2.01</v>
      </c>
      <c r="K35" s="8" t="n">
        <v>0.189</v>
      </c>
    </row>
    <row r="36" customFormat="false" ht="15" hidden="false" customHeight="false" outlineLevel="0" collapsed="false">
      <c r="A36" s="9" t="s">
        <v>459</v>
      </c>
      <c r="B36" s="9" t="s">
        <v>454</v>
      </c>
      <c r="C36" s="10" t="n">
        <v>4</v>
      </c>
      <c r="D36" s="11" t="n">
        <v>5.55</v>
      </c>
      <c r="E36" s="12" t="n">
        <f aca="false">D36*6</f>
        <v>33.3</v>
      </c>
      <c r="F36" s="12" t="n">
        <f aca="false">D36*12</f>
        <v>66.6</v>
      </c>
      <c r="G36" s="11" t="n">
        <v>7.07</v>
      </c>
      <c r="H36" s="11" t="n">
        <v>28.17</v>
      </c>
      <c r="I36" s="11" t="n">
        <v>9.34</v>
      </c>
      <c r="J36" s="11" t="n">
        <v>2</v>
      </c>
      <c r="K36" s="13" t="n">
        <v>0.189</v>
      </c>
    </row>
    <row r="37" customFormat="false" ht="15" hidden="false" customHeight="false" outlineLevel="0" collapsed="false">
      <c r="A37" s="4" t="s">
        <v>460</v>
      </c>
      <c r="B37" s="4" t="s">
        <v>454</v>
      </c>
      <c r="C37" s="5" t="n">
        <v>5</v>
      </c>
      <c r="D37" s="6" t="n">
        <v>6.82</v>
      </c>
      <c r="E37" s="7" t="n">
        <f aca="false">D37*6</f>
        <v>40.92</v>
      </c>
      <c r="F37" s="7" t="n">
        <f aca="false">D37*12</f>
        <v>81.84</v>
      </c>
      <c r="G37" s="6" t="n">
        <v>8.69</v>
      </c>
      <c r="H37" s="6" t="n">
        <v>33.48</v>
      </c>
      <c r="I37" s="6" t="n">
        <v>11.1</v>
      </c>
      <c r="J37" s="6" t="n">
        <v>1.96</v>
      </c>
      <c r="K37" s="8" t="n">
        <v>0.189</v>
      </c>
    </row>
    <row r="38" customFormat="false" ht="15" hidden="false" customHeight="false" outlineLevel="0" collapsed="false">
      <c r="A38" s="9" t="s">
        <v>461</v>
      </c>
      <c r="B38" s="9" t="s">
        <v>462</v>
      </c>
      <c r="C38" s="10" t="n">
        <v>2</v>
      </c>
      <c r="D38" s="11" t="n">
        <v>3.65</v>
      </c>
      <c r="E38" s="12" t="n">
        <f aca="false">D38*6</f>
        <v>21.9</v>
      </c>
      <c r="F38" s="12" t="n">
        <f aca="false">D38*12</f>
        <v>43.8</v>
      </c>
      <c r="G38" s="11" t="n">
        <v>4.66</v>
      </c>
      <c r="H38" s="11" t="n">
        <v>31.98</v>
      </c>
      <c r="I38" s="11" t="n">
        <v>8.4</v>
      </c>
      <c r="J38" s="11" t="n">
        <v>2.62</v>
      </c>
      <c r="K38" s="13" t="n">
        <v>0.239</v>
      </c>
    </row>
    <row r="39" customFormat="false" ht="15" hidden="false" customHeight="false" outlineLevel="0" collapsed="false">
      <c r="A39" s="4" t="s">
        <v>463</v>
      </c>
      <c r="B39" s="4" t="s">
        <v>462</v>
      </c>
      <c r="C39" s="5" t="n">
        <v>2.6</v>
      </c>
      <c r="D39" s="6" t="n">
        <v>4.71</v>
      </c>
      <c r="E39" s="7" t="n">
        <f aca="false">D39*6</f>
        <v>28.26</v>
      </c>
      <c r="F39" s="7" t="n">
        <f aca="false">D39*12</f>
        <v>56.52</v>
      </c>
      <c r="G39" s="6" t="n">
        <v>6</v>
      </c>
      <c r="H39" s="6" t="n">
        <v>40.59</v>
      </c>
      <c r="I39" s="6" t="n">
        <v>10.67</v>
      </c>
      <c r="J39" s="6" t="n">
        <v>2.6</v>
      </c>
      <c r="K39" s="8" t="n">
        <v>0.239</v>
      </c>
    </row>
    <row r="40" customFormat="false" ht="15" hidden="false" customHeight="false" outlineLevel="0" collapsed="false">
      <c r="A40" s="9" t="s">
        <v>464</v>
      </c>
      <c r="B40" s="9" t="s">
        <v>462</v>
      </c>
      <c r="C40" s="10" t="n">
        <v>2.9</v>
      </c>
      <c r="D40" s="11" t="n">
        <v>5.24</v>
      </c>
      <c r="E40" s="12" t="n">
        <f aca="false">D40*6</f>
        <v>31.44</v>
      </c>
      <c r="F40" s="12" t="n">
        <f aca="false">D40*12</f>
        <v>62.88</v>
      </c>
      <c r="G40" s="11" t="n">
        <v>6.67</v>
      </c>
      <c r="H40" s="11" t="n">
        <v>44.74</v>
      </c>
      <c r="I40" s="11" t="n">
        <v>11.76</v>
      </c>
      <c r="J40" s="11" t="n">
        <v>2.59</v>
      </c>
      <c r="K40" s="13" t="n">
        <v>0.239</v>
      </c>
    </row>
    <row r="41" customFormat="false" ht="15" hidden="false" customHeight="false" outlineLevel="0" collapsed="false">
      <c r="A41" s="4" t="s">
        <v>465</v>
      </c>
      <c r="B41" s="4" t="s">
        <v>462</v>
      </c>
      <c r="C41" s="5" t="n">
        <v>3.2</v>
      </c>
      <c r="D41" s="6" t="n">
        <v>5.75</v>
      </c>
      <c r="E41" s="7" t="n">
        <f aca="false">D41*6</f>
        <v>34.5</v>
      </c>
      <c r="F41" s="7" t="n">
        <f aca="false">D41*12</f>
        <v>69</v>
      </c>
      <c r="G41" s="6" t="n">
        <v>7.33</v>
      </c>
      <c r="H41" s="6" t="n">
        <v>48.78</v>
      </c>
      <c r="I41" s="6" t="n">
        <v>12.82</v>
      </c>
      <c r="J41" s="6" t="n">
        <v>2.58</v>
      </c>
      <c r="K41" s="8" t="n">
        <v>0.239</v>
      </c>
    </row>
    <row r="42" customFormat="false" ht="15" hidden="false" customHeight="false" outlineLevel="0" collapsed="false">
      <c r="A42" s="9" t="s">
        <v>466</v>
      </c>
      <c r="B42" s="9" t="s">
        <v>462</v>
      </c>
      <c r="C42" s="10" t="n">
        <v>3.6</v>
      </c>
      <c r="D42" s="11" t="n">
        <v>6.44</v>
      </c>
      <c r="E42" s="12" t="n">
        <f aca="false">D42*6</f>
        <v>38.64</v>
      </c>
      <c r="F42" s="12" t="n">
        <f aca="false">D42*12</f>
        <v>77.28</v>
      </c>
      <c r="G42" s="11" t="n">
        <v>8.2</v>
      </c>
      <c r="H42" s="11" t="n">
        <v>54.01</v>
      </c>
      <c r="I42" s="11" t="n">
        <v>14.19</v>
      </c>
      <c r="J42" s="11" t="n">
        <v>2.57</v>
      </c>
      <c r="K42" s="13" t="n">
        <v>0.239</v>
      </c>
    </row>
    <row r="43" customFormat="false" ht="15" hidden="false" customHeight="false" outlineLevel="0" collapsed="false">
      <c r="A43" s="4" t="s">
        <v>467</v>
      </c>
      <c r="B43" s="4" t="s">
        <v>462</v>
      </c>
      <c r="C43" s="5" t="n">
        <v>4</v>
      </c>
      <c r="D43" s="6" t="n">
        <v>7.11</v>
      </c>
      <c r="E43" s="7" t="n">
        <f aca="false">D43*6</f>
        <v>42.66</v>
      </c>
      <c r="F43" s="7" t="n">
        <f aca="false">D43*12</f>
        <v>85.32</v>
      </c>
      <c r="G43" s="6" t="n">
        <v>9.06</v>
      </c>
      <c r="H43" s="6" t="n">
        <v>59.06</v>
      </c>
      <c r="I43" s="6" t="n">
        <v>15.52</v>
      </c>
      <c r="J43" s="6" t="n">
        <v>2.55</v>
      </c>
      <c r="K43" s="8" t="n">
        <v>0.239</v>
      </c>
    </row>
    <row r="44" customFormat="false" ht="15" hidden="false" customHeight="false" outlineLevel="0" collapsed="false">
      <c r="A44" s="9" t="s">
        <v>468</v>
      </c>
      <c r="B44" s="9" t="s">
        <v>462</v>
      </c>
      <c r="C44" s="10" t="n">
        <v>5</v>
      </c>
      <c r="D44" s="11" t="n">
        <v>8.77</v>
      </c>
      <c r="E44" s="12" t="n">
        <f aca="false">D44*6</f>
        <v>52.62</v>
      </c>
      <c r="F44" s="12" t="n">
        <f aca="false">D44*12</f>
        <v>105.24</v>
      </c>
      <c r="G44" s="11" t="n">
        <v>11.17</v>
      </c>
      <c r="H44" s="11" t="n">
        <v>70.92</v>
      </c>
      <c r="I44" s="11" t="n">
        <v>18.64</v>
      </c>
      <c r="J44" s="11" t="n">
        <v>2.52</v>
      </c>
      <c r="K44" s="13" t="n">
        <v>0.239</v>
      </c>
    </row>
    <row r="45" customFormat="false" ht="15" hidden="false" customHeight="false" outlineLevel="0" collapsed="false">
      <c r="A45" s="4" t="s">
        <v>469</v>
      </c>
      <c r="B45" s="4" t="s">
        <v>470</v>
      </c>
      <c r="C45" s="5" t="n">
        <v>2.6</v>
      </c>
      <c r="D45" s="6" t="n">
        <v>5.53</v>
      </c>
      <c r="E45" s="7" t="n">
        <f aca="false">D45*6</f>
        <v>33.18</v>
      </c>
      <c r="F45" s="7" t="n">
        <f aca="false">D45*12</f>
        <v>66.36</v>
      </c>
      <c r="G45" s="6" t="n">
        <v>7.05</v>
      </c>
      <c r="H45" s="6" t="n">
        <v>65.68</v>
      </c>
      <c r="I45" s="6" t="n">
        <v>14.78</v>
      </c>
      <c r="J45" s="6" t="n">
        <v>3.05</v>
      </c>
      <c r="K45" s="8" t="n">
        <v>0.279</v>
      </c>
    </row>
    <row r="46" customFormat="false" ht="15" hidden="false" customHeight="false" outlineLevel="0" collapsed="false">
      <c r="A46" s="9" t="s">
        <v>471</v>
      </c>
      <c r="B46" s="9" t="s">
        <v>470</v>
      </c>
      <c r="C46" s="10" t="n">
        <v>3.2</v>
      </c>
      <c r="D46" s="11" t="n">
        <v>6.76</v>
      </c>
      <c r="E46" s="12" t="n">
        <f aca="false">D46*6</f>
        <v>40.56</v>
      </c>
      <c r="F46" s="12" t="n">
        <f aca="false">D46*12</f>
        <v>81.12</v>
      </c>
      <c r="G46" s="11" t="n">
        <v>8.62</v>
      </c>
      <c r="H46" s="11" t="n">
        <v>79.21</v>
      </c>
      <c r="I46" s="11" t="n">
        <v>17.82</v>
      </c>
      <c r="J46" s="11" t="n">
        <v>3.03</v>
      </c>
      <c r="K46" s="13" t="n">
        <v>0.279</v>
      </c>
    </row>
    <row r="47" customFormat="false" ht="15" hidden="false" customHeight="false" outlineLevel="0" collapsed="false">
      <c r="A47" s="4" t="s">
        <v>472</v>
      </c>
      <c r="B47" s="4" t="s">
        <v>470</v>
      </c>
      <c r="C47" s="5" t="n">
        <v>3.6</v>
      </c>
      <c r="D47" s="6" t="n">
        <v>7.57</v>
      </c>
      <c r="E47" s="7" t="n">
        <f aca="false">D47*6</f>
        <v>45.42</v>
      </c>
      <c r="F47" s="7" t="n">
        <f aca="false">D47*12</f>
        <v>90.84</v>
      </c>
      <c r="G47" s="6" t="n">
        <v>9.65</v>
      </c>
      <c r="H47" s="6" t="n">
        <v>87.9</v>
      </c>
      <c r="I47" s="6" t="n">
        <v>19.77</v>
      </c>
      <c r="J47" s="6" t="n">
        <v>3.02</v>
      </c>
      <c r="K47" s="8" t="n">
        <v>0.279</v>
      </c>
    </row>
    <row r="48" customFormat="false" ht="15" hidden="false" customHeight="false" outlineLevel="0" collapsed="false">
      <c r="A48" s="9" t="s">
        <v>473</v>
      </c>
      <c r="B48" s="9" t="s">
        <v>470</v>
      </c>
      <c r="C48" s="10" t="n">
        <v>4</v>
      </c>
      <c r="D48" s="11" t="n">
        <v>8.38</v>
      </c>
      <c r="E48" s="12" t="n">
        <f aca="false">D48*6</f>
        <v>50.28</v>
      </c>
      <c r="F48" s="12" t="n">
        <f aca="false">D48*12</f>
        <v>100.56</v>
      </c>
      <c r="G48" s="11" t="n">
        <v>10.67</v>
      </c>
      <c r="H48" s="11" t="n">
        <v>96.34</v>
      </c>
      <c r="I48" s="11" t="n">
        <v>21.67</v>
      </c>
      <c r="J48" s="11" t="n">
        <v>3</v>
      </c>
      <c r="K48" s="13" t="n">
        <v>0.279</v>
      </c>
    </row>
    <row r="49" customFormat="false" ht="15" hidden="false" customHeight="false" outlineLevel="0" collapsed="false">
      <c r="A49" s="4" t="s">
        <v>474</v>
      </c>
      <c r="B49" s="4" t="s">
        <v>470</v>
      </c>
      <c r="C49" s="5" t="n">
        <v>5</v>
      </c>
      <c r="D49" s="6" t="n">
        <v>10.35</v>
      </c>
      <c r="E49" s="7" t="n">
        <f aca="false">D49*6</f>
        <v>62.1</v>
      </c>
      <c r="F49" s="7" t="n">
        <f aca="false">D49*12</f>
        <v>124.2</v>
      </c>
      <c r="G49" s="6" t="n">
        <v>13.18</v>
      </c>
      <c r="H49" s="6" t="n">
        <v>116.37</v>
      </c>
      <c r="I49" s="6" t="n">
        <v>26.18</v>
      </c>
      <c r="J49" s="6" t="n">
        <v>2.97</v>
      </c>
      <c r="K49" s="8" t="n">
        <v>0.279</v>
      </c>
    </row>
    <row r="50" customFormat="false" ht="15" hidden="false" customHeight="false" outlineLevel="0" collapsed="false">
      <c r="A50" s="9" t="s">
        <v>475</v>
      </c>
      <c r="B50" s="9" t="s">
        <v>470</v>
      </c>
      <c r="C50" s="10" t="n">
        <v>6</v>
      </c>
      <c r="D50" s="11" t="n">
        <v>12.27</v>
      </c>
      <c r="E50" s="12" t="n">
        <f aca="false">D50*6</f>
        <v>73.62</v>
      </c>
      <c r="F50" s="12" t="n">
        <f aca="false">D50*12</f>
        <v>147.24</v>
      </c>
      <c r="G50" s="11" t="n">
        <v>15.63</v>
      </c>
      <c r="H50" s="11" t="n">
        <v>134.94</v>
      </c>
      <c r="I50" s="11" t="n">
        <v>30.36</v>
      </c>
      <c r="J50" s="11" t="n">
        <v>2.94</v>
      </c>
      <c r="K50" s="13" t="n">
        <v>0.279</v>
      </c>
    </row>
    <row r="51" customFormat="false" ht="15" hidden="false" customHeight="false" outlineLevel="0" collapsed="false">
      <c r="A51" s="4" t="s">
        <v>476</v>
      </c>
      <c r="B51" s="4" t="s">
        <v>477</v>
      </c>
      <c r="C51" s="5" t="n">
        <v>3</v>
      </c>
      <c r="D51" s="6" t="n">
        <v>7.29</v>
      </c>
      <c r="E51" s="7" t="n">
        <f aca="false">D51*6</f>
        <v>43.74</v>
      </c>
      <c r="F51" s="7" t="n">
        <f aca="false">D51*12</f>
        <v>87.48</v>
      </c>
      <c r="G51" s="6" t="n">
        <v>9.29</v>
      </c>
      <c r="H51" s="6" t="n">
        <v>113.04</v>
      </c>
      <c r="I51" s="6" t="n">
        <v>22.25</v>
      </c>
      <c r="J51" s="6" t="n">
        <v>3.49</v>
      </c>
      <c r="K51" s="8" t="n">
        <v>0.319</v>
      </c>
    </row>
    <row r="52" customFormat="false" ht="15" hidden="false" customHeight="false" outlineLevel="0" collapsed="false">
      <c r="A52" s="9" t="s">
        <v>478</v>
      </c>
      <c r="B52" s="9" t="s">
        <v>477</v>
      </c>
      <c r="C52" s="10" t="n">
        <v>3.2</v>
      </c>
      <c r="D52" s="11" t="n">
        <v>7.77</v>
      </c>
      <c r="E52" s="12" t="n">
        <f aca="false">D52*6</f>
        <v>46.62</v>
      </c>
      <c r="F52" s="12" t="n">
        <f aca="false">D52*12</f>
        <v>93.24</v>
      </c>
      <c r="G52" s="11" t="n">
        <v>9.89</v>
      </c>
      <c r="H52" s="11" t="n">
        <v>119.85</v>
      </c>
      <c r="I52" s="11" t="n">
        <v>23.59</v>
      </c>
      <c r="J52" s="11" t="n">
        <v>3.48</v>
      </c>
      <c r="K52" s="13" t="n">
        <v>0.319</v>
      </c>
    </row>
    <row r="53" customFormat="false" ht="15" hidden="false" customHeight="false" outlineLevel="0" collapsed="false">
      <c r="A53" s="4" t="s">
        <v>479</v>
      </c>
      <c r="B53" s="4" t="s">
        <v>477</v>
      </c>
      <c r="C53" s="5" t="n">
        <v>3.6</v>
      </c>
      <c r="D53" s="6" t="n">
        <v>8.7</v>
      </c>
      <c r="E53" s="7" t="n">
        <f aca="false">D53*6</f>
        <v>52.2</v>
      </c>
      <c r="F53" s="7" t="n">
        <f aca="false">D53*12</f>
        <v>104.4</v>
      </c>
      <c r="G53" s="6" t="n">
        <v>11.08</v>
      </c>
      <c r="H53" s="6" t="n">
        <v>133.24</v>
      </c>
      <c r="I53" s="6" t="n">
        <v>26.23</v>
      </c>
      <c r="J53" s="6" t="n">
        <v>3.47</v>
      </c>
      <c r="K53" s="8" t="n">
        <v>0.319</v>
      </c>
    </row>
    <row r="54" customFormat="false" ht="15" hidden="false" customHeight="false" outlineLevel="0" collapsed="false">
      <c r="A54" s="9" t="s">
        <v>480</v>
      </c>
      <c r="B54" s="9" t="s">
        <v>477</v>
      </c>
      <c r="C54" s="10" t="n">
        <v>4</v>
      </c>
      <c r="D54" s="11" t="n">
        <v>9.63</v>
      </c>
      <c r="E54" s="12" t="n">
        <f aca="false">D54*6</f>
        <v>57.78</v>
      </c>
      <c r="F54" s="12" t="n">
        <f aca="false">D54*12</f>
        <v>115.56</v>
      </c>
      <c r="G54" s="11" t="n">
        <v>12.26</v>
      </c>
      <c r="H54" s="11" t="n">
        <v>146.28</v>
      </c>
      <c r="I54" s="11" t="n">
        <v>28.8</v>
      </c>
      <c r="J54" s="11" t="n">
        <v>3.45</v>
      </c>
      <c r="K54" s="13" t="n">
        <v>0.319</v>
      </c>
    </row>
    <row r="55" customFormat="false" ht="15" hidden="false" customHeight="false" outlineLevel="0" collapsed="false">
      <c r="A55" s="4" t="s">
        <v>481</v>
      </c>
      <c r="B55" s="4" t="s">
        <v>477</v>
      </c>
      <c r="C55" s="5" t="n">
        <v>5</v>
      </c>
      <c r="D55" s="6" t="n">
        <v>11.91</v>
      </c>
      <c r="E55" s="7" t="n">
        <f aca="false">D55*6</f>
        <v>71.46</v>
      </c>
      <c r="F55" s="7" t="n">
        <f aca="false">D55*12</f>
        <v>142.92</v>
      </c>
      <c r="G55" s="6" t="n">
        <v>15.17</v>
      </c>
      <c r="H55" s="6" t="n">
        <v>177.47</v>
      </c>
      <c r="I55" s="6" t="n">
        <v>34.93</v>
      </c>
      <c r="J55" s="6" t="n">
        <v>3.42</v>
      </c>
      <c r="K55" s="8" t="n">
        <v>0.319</v>
      </c>
    </row>
    <row r="56" customFormat="false" ht="15" hidden="false" customHeight="false" outlineLevel="0" collapsed="false">
      <c r="A56" s="9" t="s">
        <v>482</v>
      </c>
      <c r="B56" s="9" t="s">
        <v>477</v>
      </c>
      <c r="C56" s="10" t="n">
        <v>6</v>
      </c>
      <c r="D56" s="11" t="n">
        <v>14.15</v>
      </c>
      <c r="E56" s="12" t="n">
        <f aca="false">D56*6</f>
        <v>84.9</v>
      </c>
      <c r="F56" s="12" t="n">
        <f aca="false">D56*12</f>
        <v>169.8</v>
      </c>
      <c r="G56" s="11" t="n">
        <v>18.02</v>
      </c>
      <c r="H56" s="11" t="n">
        <v>206.68</v>
      </c>
      <c r="I56" s="11" t="n">
        <v>40.68</v>
      </c>
      <c r="J56" s="11" t="n">
        <v>3.39</v>
      </c>
      <c r="K56" s="13" t="n">
        <v>0.319</v>
      </c>
    </row>
    <row r="57" customFormat="false" ht="15" hidden="false" customHeight="false" outlineLevel="0" collapsed="false">
      <c r="A57" s="4" t="s">
        <v>483</v>
      </c>
      <c r="B57" s="4" t="s">
        <v>484</v>
      </c>
      <c r="C57" s="5" t="n">
        <v>3</v>
      </c>
      <c r="D57" s="6" t="n">
        <v>8.23</v>
      </c>
      <c r="E57" s="7" t="n">
        <f aca="false">D57*6</f>
        <v>49.38</v>
      </c>
      <c r="F57" s="7" t="n">
        <f aca="false">D57*12</f>
        <v>98.76</v>
      </c>
      <c r="G57" s="6" t="n">
        <v>10.49</v>
      </c>
      <c r="H57" s="6" t="n">
        <v>162.55</v>
      </c>
      <c r="I57" s="6" t="n">
        <v>28.44</v>
      </c>
      <c r="J57" s="6" t="n">
        <v>3.94</v>
      </c>
      <c r="K57" s="8" t="n">
        <v>0.359</v>
      </c>
    </row>
    <row r="58" customFormat="false" ht="15" hidden="false" customHeight="false" outlineLevel="0" collapsed="false">
      <c r="A58" s="9" t="s">
        <v>485</v>
      </c>
      <c r="B58" s="9" t="s">
        <v>484</v>
      </c>
      <c r="C58" s="10" t="n">
        <v>3.2</v>
      </c>
      <c r="D58" s="11" t="n">
        <v>8.77</v>
      </c>
      <c r="E58" s="12" t="n">
        <f aca="false">D58*6</f>
        <v>52.62</v>
      </c>
      <c r="F58" s="12" t="n">
        <f aca="false">D58*12</f>
        <v>105.24</v>
      </c>
      <c r="G58" s="11" t="n">
        <v>11.17</v>
      </c>
      <c r="H58" s="11" t="n">
        <v>172.47</v>
      </c>
      <c r="I58" s="11" t="n">
        <v>30.18</v>
      </c>
      <c r="J58" s="11" t="n">
        <v>3.93</v>
      </c>
      <c r="K58" s="13" t="n">
        <v>0.359</v>
      </c>
    </row>
    <row r="59" customFormat="false" ht="15" hidden="false" customHeight="false" outlineLevel="0" collapsed="false">
      <c r="A59" s="4" t="s">
        <v>486</v>
      </c>
      <c r="B59" s="4" t="s">
        <v>484</v>
      </c>
      <c r="C59" s="5" t="n">
        <v>3.6</v>
      </c>
      <c r="D59" s="6" t="n">
        <v>9.83</v>
      </c>
      <c r="E59" s="7" t="n">
        <f aca="false">D59*6</f>
        <v>58.98</v>
      </c>
      <c r="F59" s="7" t="n">
        <f aca="false">D59*12</f>
        <v>117.96</v>
      </c>
      <c r="G59" s="6" t="n">
        <v>12.52</v>
      </c>
      <c r="H59" s="6" t="n">
        <v>191.98</v>
      </c>
      <c r="I59" s="6" t="n">
        <v>33.59</v>
      </c>
      <c r="J59" s="6" t="n">
        <v>3.92</v>
      </c>
      <c r="K59" s="8" t="n">
        <v>0.359</v>
      </c>
    </row>
    <row r="60" customFormat="false" ht="15" hidden="false" customHeight="false" outlineLevel="0" collapsed="false">
      <c r="A60" s="9" t="s">
        <v>487</v>
      </c>
      <c r="B60" s="9" t="s">
        <v>484</v>
      </c>
      <c r="C60" s="10" t="n">
        <v>4</v>
      </c>
      <c r="D60" s="11" t="n">
        <v>10.88</v>
      </c>
      <c r="E60" s="12" t="n">
        <f aca="false">D60*6</f>
        <v>65.28</v>
      </c>
      <c r="F60" s="12" t="n">
        <f aca="false">D60*12</f>
        <v>130.56</v>
      </c>
      <c r="G60" s="11" t="n">
        <v>13.86</v>
      </c>
      <c r="H60" s="11" t="n">
        <v>211.07</v>
      </c>
      <c r="I60" s="11" t="n">
        <v>36.93</v>
      </c>
      <c r="J60" s="11" t="n">
        <v>3.9</v>
      </c>
      <c r="K60" s="13" t="n">
        <v>0.359</v>
      </c>
    </row>
    <row r="61" customFormat="false" ht="15" hidden="false" customHeight="false" outlineLevel="0" collapsed="false">
      <c r="A61" s="4" t="s">
        <v>488</v>
      </c>
      <c r="B61" s="4" t="s">
        <v>484</v>
      </c>
      <c r="C61" s="5" t="n">
        <v>5</v>
      </c>
      <c r="D61" s="6" t="n">
        <v>13.48</v>
      </c>
      <c r="E61" s="7" t="n">
        <f aca="false">D61*6</f>
        <v>80.88</v>
      </c>
      <c r="F61" s="7" t="n">
        <f aca="false">D61*12</f>
        <v>161.76</v>
      </c>
      <c r="G61" s="6" t="n">
        <v>17.17</v>
      </c>
      <c r="H61" s="6" t="n">
        <v>256.92</v>
      </c>
      <c r="I61" s="6" t="n">
        <v>44.96</v>
      </c>
      <c r="J61" s="6" t="n">
        <v>3.87</v>
      </c>
      <c r="K61" s="8" t="n">
        <v>0.359</v>
      </c>
    </row>
    <row r="62" customFormat="false" ht="15" hidden="false" customHeight="false" outlineLevel="0" collapsed="false">
      <c r="A62" s="9" t="s">
        <v>489</v>
      </c>
      <c r="B62" s="9" t="s">
        <v>484</v>
      </c>
      <c r="C62" s="10" t="n">
        <v>6</v>
      </c>
      <c r="D62" s="11" t="n">
        <v>16.03</v>
      </c>
      <c r="E62" s="12" t="n">
        <f aca="false">D62*6</f>
        <v>96.18</v>
      </c>
      <c r="F62" s="12" t="n">
        <f aca="false">D62*12</f>
        <v>192.36</v>
      </c>
      <c r="G62" s="11" t="n">
        <v>20.41</v>
      </c>
      <c r="H62" s="11" t="n">
        <v>300.21</v>
      </c>
      <c r="I62" s="11" t="n">
        <v>52.53</v>
      </c>
      <c r="J62" s="11" t="n">
        <v>3.83</v>
      </c>
      <c r="K62" s="13" t="n">
        <v>0.359</v>
      </c>
    </row>
    <row r="63" customFormat="false" ht="15" hidden="false" customHeight="false" outlineLevel="0" collapsed="false">
      <c r="A63" s="4" t="s">
        <v>490</v>
      </c>
      <c r="B63" s="4" t="s">
        <v>491</v>
      </c>
      <c r="C63" s="5" t="n">
        <v>3.2</v>
      </c>
      <c r="D63" s="6" t="n">
        <v>10.77</v>
      </c>
      <c r="E63" s="7" t="n">
        <f aca="false">D63*6</f>
        <v>64.62</v>
      </c>
      <c r="F63" s="7" t="n">
        <f aca="false">D63*12</f>
        <v>129.24</v>
      </c>
      <c r="G63" s="6" t="n">
        <v>13.72</v>
      </c>
      <c r="H63" s="6" t="n">
        <v>319.78</v>
      </c>
      <c r="I63" s="6" t="n">
        <v>45.78</v>
      </c>
      <c r="J63" s="6" t="n">
        <v>4.83</v>
      </c>
      <c r="K63" s="8" t="n">
        <v>0.439</v>
      </c>
    </row>
    <row r="64" customFormat="false" ht="15" hidden="false" customHeight="false" outlineLevel="0" collapsed="false">
      <c r="A64" s="9" t="s">
        <v>492</v>
      </c>
      <c r="B64" s="9" t="s">
        <v>491</v>
      </c>
      <c r="C64" s="10" t="n">
        <v>4</v>
      </c>
      <c r="D64" s="11" t="n">
        <v>13.39</v>
      </c>
      <c r="E64" s="12" t="n">
        <f aca="false">D64*6</f>
        <v>80.34</v>
      </c>
      <c r="F64" s="12" t="n">
        <f aca="false">D64*12</f>
        <v>160.68</v>
      </c>
      <c r="G64" s="11" t="n">
        <v>17.05</v>
      </c>
      <c r="H64" s="11" t="n">
        <v>392.86</v>
      </c>
      <c r="I64" s="11" t="n">
        <v>56.24</v>
      </c>
      <c r="J64" s="11" t="n">
        <v>4.8</v>
      </c>
      <c r="K64" s="13" t="n">
        <v>0.439</v>
      </c>
    </row>
    <row r="65" customFormat="false" ht="15" hidden="false" customHeight="false" outlineLevel="0" collapsed="false">
      <c r="A65" s="4" t="s">
        <v>493</v>
      </c>
      <c r="B65" s="4" t="s">
        <v>491</v>
      </c>
      <c r="C65" s="5" t="n">
        <v>5</v>
      </c>
      <c r="D65" s="6" t="n">
        <v>16.61</v>
      </c>
      <c r="E65" s="7" t="n">
        <f aca="false">D65*6</f>
        <v>99.66</v>
      </c>
      <c r="F65" s="7" t="n">
        <f aca="false">D65*12</f>
        <v>199.32</v>
      </c>
      <c r="G65" s="6" t="n">
        <v>21.16</v>
      </c>
      <c r="H65" s="6" t="n">
        <v>480.54</v>
      </c>
      <c r="I65" s="6" t="n">
        <v>68.8</v>
      </c>
      <c r="J65" s="6" t="n">
        <v>4.77</v>
      </c>
      <c r="K65" s="8" t="n">
        <v>0.439</v>
      </c>
    </row>
    <row r="66" customFormat="false" ht="15" hidden="false" customHeight="false" outlineLevel="0" collapsed="false">
      <c r="A66" s="9" t="s">
        <v>494</v>
      </c>
      <c r="B66" s="9" t="s">
        <v>491</v>
      </c>
      <c r="C66" s="10" t="n">
        <v>6</v>
      </c>
      <c r="D66" s="11" t="n">
        <v>19.78</v>
      </c>
      <c r="E66" s="12" t="n">
        <f aca="false">D66*6</f>
        <v>118.68</v>
      </c>
      <c r="F66" s="12" t="n">
        <f aca="false">D66*12</f>
        <v>237.36</v>
      </c>
      <c r="G66" s="11" t="n">
        <v>25.2</v>
      </c>
      <c r="H66" s="11" t="n">
        <v>564.26</v>
      </c>
      <c r="I66" s="11" t="n">
        <v>80.78</v>
      </c>
      <c r="J66" s="11" t="n">
        <v>4.73</v>
      </c>
      <c r="K66" s="13" t="n">
        <v>0.439</v>
      </c>
    </row>
    <row r="67" customFormat="false" ht="15" hidden="false" customHeight="false" outlineLevel="0" collapsed="false">
      <c r="A67" s="4" t="s">
        <v>495</v>
      </c>
      <c r="B67" s="4" t="s">
        <v>491</v>
      </c>
      <c r="C67" s="5" t="n">
        <v>8</v>
      </c>
      <c r="D67" s="6" t="n">
        <v>25.98</v>
      </c>
      <c r="E67" s="7" t="n">
        <f aca="false">D67*6</f>
        <v>155.88</v>
      </c>
      <c r="F67" s="7" t="n">
        <f aca="false">D67*12</f>
        <v>311.76</v>
      </c>
      <c r="G67" s="6" t="n">
        <v>33.1</v>
      </c>
      <c r="H67" s="6" t="n">
        <v>720.29</v>
      </c>
      <c r="I67" s="6" t="n">
        <v>103.12</v>
      </c>
      <c r="J67" s="6" t="n">
        <v>4.66</v>
      </c>
      <c r="K67" s="8" t="n">
        <v>0.439</v>
      </c>
    </row>
    <row r="68" customFormat="false" ht="15" hidden="false" customHeight="false" outlineLevel="0" collapsed="false">
      <c r="A68" s="9" t="s">
        <v>496</v>
      </c>
      <c r="B68" s="9" t="s">
        <v>497</v>
      </c>
      <c r="C68" s="10" t="n">
        <v>3.2</v>
      </c>
      <c r="D68" s="11" t="n">
        <v>13.03</v>
      </c>
      <c r="E68" s="12" t="n">
        <f aca="false">D68*6</f>
        <v>78.18</v>
      </c>
      <c r="F68" s="12" t="n">
        <f aca="false">D68*12</f>
        <v>156.36</v>
      </c>
      <c r="G68" s="11" t="n">
        <v>16.6</v>
      </c>
      <c r="H68" s="11" t="n">
        <v>565.74</v>
      </c>
      <c r="I68" s="11" t="n">
        <v>67.23</v>
      </c>
      <c r="J68" s="11" t="n">
        <v>5.84</v>
      </c>
      <c r="K68" s="13" t="n">
        <v>0.529</v>
      </c>
    </row>
    <row r="69" customFormat="false" ht="15" hidden="false" customHeight="false" outlineLevel="0" collapsed="false">
      <c r="A69" s="4" t="s">
        <v>498</v>
      </c>
      <c r="B69" s="4" t="s">
        <v>497</v>
      </c>
      <c r="C69" s="5" t="n">
        <v>4</v>
      </c>
      <c r="D69" s="6" t="n">
        <v>16.21</v>
      </c>
      <c r="E69" s="7" t="n">
        <f aca="false">D69*6</f>
        <v>97.26</v>
      </c>
      <c r="F69" s="7" t="n">
        <f aca="false">D69*12</f>
        <v>194.52</v>
      </c>
      <c r="G69" s="6" t="n">
        <v>20.65</v>
      </c>
      <c r="H69" s="6" t="n">
        <v>697.09</v>
      </c>
      <c r="I69" s="6" t="n">
        <v>82.84</v>
      </c>
      <c r="J69" s="6" t="n">
        <v>5.81</v>
      </c>
      <c r="K69" s="8" t="n">
        <v>0.529</v>
      </c>
    </row>
    <row r="70" customFormat="false" ht="15" hidden="false" customHeight="false" outlineLevel="0" collapsed="false">
      <c r="A70" s="9" t="s">
        <v>499</v>
      </c>
      <c r="B70" s="9" t="s">
        <v>497</v>
      </c>
      <c r="C70" s="10" t="n">
        <v>5</v>
      </c>
      <c r="D70" s="11" t="n">
        <v>20.14</v>
      </c>
      <c r="E70" s="12" t="n">
        <f aca="false">D70*6</f>
        <v>120.84</v>
      </c>
      <c r="F70" s="12" t="n">
        <f aca="false">D70*12</f>
        <v>241.68</v>
      </c>
      <c r="G70" s="11" t="n">
        <v>25.65</v>
      </c>
      <c r="H70" s="11" t="n">
        <v>855.85</v>
      </c>
      <c r="I70" s="11" t="n">
        <v>101.7</v>
      </c>
      <c r="J70" s="11" t="n">
        <v>5.78</v>
      </c>
      <c r="K70" s="13" t="n">
        <v>0.529</v>
      </c>
    </row>
    <row r="71" customFormat="false" ht="15" hidden="false" customHeight="false" outlineLevel="0" collapsed="false">
      <c r="A71" s="4" t="s">
        <v>500</v>
      </c>
      <c r="B71" s="4" t="s">
        <v>497</v>
      </c>
      <c r="C71" s="5" t="n">
        <v>6</v>
      </c>
      <c r="D71" s="6" t="n">
        <v>24.02</v>
      </c>
      <c r="E71" s="7" t="n">
        <f aca="false">D71*6</f>
        <v>144.12</v>
      </c>
      <c r="F71" s="7" t="n">
        <f aca="false">D71*12</f>
        <v>288.24</v>
      </c>
      <c r="G71" s="6" t="n">
        <v>30.59</v>
      </c>
      <c r="H71" s="6" t="n">
        <v>1008.69</v>
      </c>
      <c r="I71" s="6" t="n">
        <v>119.87</v>
      </c>
      <c r="J71" s="6" t="n">
        <v>5.74</v>
      </c>
      <c r="K71" s="8" t="n">
        <v>0.529</v>
      </c>
    </row>
    <row r="72" customFormat="false" ht="15" hidden="false" customHeight="false" outlineLevel="0" collapsed="false">
      <c r="A72" s="9" t="s">
        <v>501</v>
      </c>
      <c r="B72" s="9" t="s">
        <v>497</v>
      </c>
      <c r="C72" s="10" t="n">
        <v>8</v>
      </c>
      <c r="D72" s="11" t="n">
        <v>31.63</v>
      </c>
      <c r="E72" s="12" t="n">
        <f aca="false">D72*6</f>
        <v>189.78</v>
      </c>
      <c r="F72" s="12" t="n">
        <f aca="false">D72*12</f>
        <v>379.56</v>
      </c>
      <c r="G72" s="11" t="n">
        <v>40.29</v>
      </c>
      <c r="H72" s="11" t="n">
        <v>1297.27</v>
      </c>
      <c r="I72" s="11" t="n">
        <v>154.16</v>
      </c>
      <c r="J72" s="11" t="n">
        <v>5.67</v>
      </c>
      <c r="K72" s="13" t="n">
        <v>0.529</v>
      </c>
    </row>
    <row r="73" customFormat="false" ht="15" hidden="false" customHeight="false" outlineLevel="0" collapsed="false">
      <c r="A73" s="4" t="s">
        <v>502</v>
      </c>
      <c r="B73" s="4" t="s">
        <v>497</v>
      </c>
      <c r="C73" s="5" t="n">
        <v>10</v>
      </c>
      <c r="D73" s="6" t="n">
        <v>39.04</v>
      </c>
      <c r="E73" s="7" t="n">
        <f aca="false">D73*6</f>
        <v>234.24</v>
      </c>
      <c r="F73" s="7" t="n">
        <f aca="false">D73*12</f>
        <v>468.48</v>
      </c>
      <c r="G73" s="6" t="n">
        <v>49.73</v>
      </c>
      <c r="H73" s="6" t="n">
        <v>1563.98</v>
      </c>
      <c r="I73" s="6" t="n">
        <v>185.86</v>
      </c>
      <c r="J73" s="6" t="n">
        <v>5.61</v>
      </c>
      <c r="K73" s="8" t="n">
        <v>0.529</v>
      </c>
    </row>
    <row r="74" customFormat="false" ht="15" hidden="false" customHeight="false" outlineLevel="0" collapsed="false">
      <c r="A74" s="9" t="s">
        <v>503</v>
      </c>
      <c r="B74" s="9" t="s">
        <v>504</v>
      </c>
      <c r="C74" s="10" t="n">
        <v>4</v>
      </c>
      <c r="D74" s="11" t="n">
        <v>21.22</v>
      </c>
      <c r="E74" s="12" t="n">
        <f aca="false">D74*6</f>
        <v>127.32</v>
      </c>
      <c r="F74" s="12" t="n">
        <f aca="false">D74*12</f>
        <v>254.64</v>
      </c>
      <c r="G74" s="11" t="n">
        <v>27.03</v>
      </c>
      <c r="H74" s="11" t="n">
        <v>1563.84</v>
      </c>
      <c r="I74" s="11" t="n">
        <v>142.75</v>
      </c>
      <c r="J74" s="11" t="n">
        <v>7.61</v>
      </c>
      <c r="K74" s="13" t="n">
        <v>0.688</v>
      </c>
    </row>
    <row r="75" customFormat="false" ht="15" hidden="false" customHeight="false" outlineLevel="0" collapsed="false">
      <c r="A75" s="4" t="s">
        <v>505</v>
      </c>
      <c r="B75" s="4" t="s">
        <v>504</v>
      </c>
      <c r="C75" s="5" t="n">
        <v>5</v>
      </c>
      <c r="D75" s="6" t="n">
        <v>26.4</v>
      </c>
      <c r="E75" s="7" t="n">
        <f aca="false">D75*6</f>
        <v>158.4</v>
      </c>
      <c r="F75" s="7" t="n">
        <f aca="false">D75*12</f>
        <v>316.8</v>
      </c>
      <c r="G75" s="6" t="n">
        <v>33.63</v>
      </c>
      <c r="H75" s="6" t="n">
        <v>1928.04</v>
      </c>
      <c r="I75" s="6" t="n">
        <v>176</v>
      </c>
      <c r="J75" s="6" t="n">
        <v>7.57</v>
      </c>
      <c r="K75" s="8" t="n">
        <v>0.688</v>
      </c>
    </row>
    <row r="76" customFormat="false" ht="15" hidden="false" customHeight="false" outlineLevel="0" collapsed="false">
      <c r="A76" s="9" t="s">
        <v>506</v>
      </c>
      <c r="B76" s="9" t="s">
        <v>504</v>
      </c>
      <c r="C76" s="10" t="n">
        <v>6</v>
      </c>
      <c r="D76" s="11" t="n">
        <v>31.53</v>
      </c>
      <c r="E76" s="12" t="n">
        <f aca="false">D76*6</f>
        <v>189.18</v>
      </c>
      <c r="F76" s="12" t="n">
        <f aca="false">D76*12</f>
        <v>378.36</v>
      </c>
      <c r="G76" s="11" t="n">
        <v>40.17</v>
      </c>
      <c r="H76" s="11" t="n">
        <v>2281.95</v>
      </c>
      <c r="I76" s="11" t="n">
        <v>208.3</v>
      </c>
      <c r="J76" s="11" t="n">
        <v>7.54</v>
      </c>
      <c r="K76" s="13" t="n">
        <v>0.688</v>
      </c>
    </row>
    <row r="77" customFormat="false" ht="15" hidden="false" customHeight="false" outlineLevel="0" collapsed="false">
      <c r="A77" s="4" t="s">
        <v>507</v>
      </c>
      <c r="B77" s="4" t="s">
        <v>504</v>
      </c>
      <c r="C77" s="5" t="n">
        <v>8</v>
      </c>
      <c r="D77" s="6" t="n">
        <v>41.65</v>
      </c>
      <c r="E77" s="7" t="n">
        <f aca="false">D77*6</f>
        <v>249.9</v>
      </c>
      <c r="F77" s="7" t="n">
        <f aca="false">D77*12</f>
        <v>499.8</v>
      </c>
      <c r="G77" s="6" t="n">
        <v>53.06</v>
      </c>
      <c r="H77" s="6" t="n">
        <v>2959.63</v>
      </c>
      <c r="I77" s="6" t="n">
        <v>270.16</v>
      </c>
      <c r="J77" s="6" t="n">
        <v>7.47</v>
      </c>
      <c r="K77" s="8" t="n">
        <v>0.688</v>
      </c>
    </row>
    <row r="78" customFormat="false" ht="15" hidden="false" customHeight="false" outlineLevel="0" collapsed="false">
      <c r="A78" s="9" t="s">
        <v>508</v>
      </c>
      <c r="B78" s="9" t="s">
        <v>504</v>
      </c>
      <c r="C78" s="10" t="n">
        <v>10</v>
      </c>
      <c r="D78" s="11" t="n">
        <v>51.57</v>
      </c>
      <c r="E78" s="12" t="n">
        <f aca="false">D78*6</f>
        <v>309.42</v>
      </c>
      <c r="F78" s="12" t="n">
        <f aca="false">D78*12</f>
        <v>618.84</v>
      </c>
      <c r="G78" s="11" t="n">
        <v>65.69</v>
      </c>
      <c r="H78" s="11" t="n">
        <v>3598.44</v>
      </c>
      <c r="I78" s="11" t="n">
        <v>328.47</v>
      </c>
      <c r="J78" s="11" t="n">
        <v>7.4</v>
      </c>
      <c r="K78" s="13" t="n">
        <v>0.688</v>
      </c>
    </row>
    <row r="79" customFormat="false" ht="15" hidden="false" customHeight="false" outlineLevel="0" collapsed="false">
      <c r="A79" s="4" t="s">
        <v>509</v>
      </c>
      <c r="B79" s="4" t="s">
        <v>504</v>
      </c>
      <c r="C79" s="5" t="n">
        <v>12.5</v>
      </c>
      <c r="D79" s="6" t="n">
        <v>63.69</v>
      </c>
      <c r="E79" s="7" t="n">
        <f aca="false">D79*6</f>
        <v>382.14</v>
      </c>
      <c r="F79" s="7" t="n">
        <f aca="false">D79*12</f>
        <v>764.28</v>
      </c>
      <c r="G79" s="6" t="n">
        <v>81.13</v>
      </c>
      <c r="H79" s="6" t="n">
        <v>4344.58</v>
      </c>
      <c r="I79" s="6" t="n">
        <v>396.58</v>
      </c>
      <c r="J79" s="6" t="n">
        <v>7.32</v>
      </c>
      <c r="K79" s="8" t="n">
        <v>0.688</v>
      </c>
    </row>
    <row r="80" customFormat="false" ht="15" hidden="false" customHeight="false" outlineLevel="0" collapsed="false">
      <c r="A80" s="9" t="s">
        <v>510</v>
      </c>
      <c r="B80" s="9" t="s">
        <v>511</v>
      </c>
      <c r="C80" s="10" t="n">
        <v>5</v>
      </c>
      <c r="D80" s="11" t="n">
        <v>33.05</v>
      </c>
      <c r="E80" s="12" t="n">
        <f aca="false">D80*6</f>
        <v>198.3</v>
      </c>
      <c r="F80" s="12" t="n">
        <f aca="false">D80*12</f>
        <v>396.6</v>
      </c>
      <c r="G80" s="11" t="n">
        <v>42.1</v>
      </c>
      <c r="H80" s="11" t="n">
        <v>3780.81</v>
      </c>
      <c r="I80" s="11" t="n">
        <v>276.98</v>
      </c>
      <c r="J80" s="11" t="n">
        <v>9.48</v>
      </c>
      <c r="K80" s="13" t="n">
        <v>0.858</v>
      </c>
    </row>
    <row r="81" customFormat="false" ht="15" hidden="false" customHeight="false" outlineLevel="0" collapsed="false">
      <c r="A81" s="4" t="s">
        <v>512</v>
      </c>
      <c r="B81" s="4" t="s">
        <v>511</v>
      </c>
      <c r="C81" s="5" t="n">
        <v>6</v>
      </c>
      <c r="D81" s="6" t="n">
        <v>39.51</v>
      </c>
      <c r="E81" s="7" t="n">
        <f aca="false">D81*6</f>
        <v>237.06</v>
      </c>
      <c r="F81" s="7" t="n">
        <f aca="false">D81*12</f>
        <v>474.12</v>
      </c>
      <c r="G81" s="6" t="n">
        <v>50.33</v>
      </c>
      <c r="H81" s="6" t="n">
        <v>4487.08</v>
      </c>
      <c r="I81" s="6" t="n">
        <v>328.72</v>
      </c>
      <c r="J81" s="6" t="n">
        <v>9.44</v>
      </c>
      <c r="K81" s="8" t="n">
        <v>0.858</v>
      </c>
    </row>
    <row r="82" customFormat="false" ht="15" hidden="false" customHeight="false" outlineLevel="0" collapsed="false">
      <c r="A82" s="9" t="s">
        <v>513</v>
      </c>
      <c r="B82" s="9" t="s">
        <v>511</v>
      </c>
      <c r="C82" s="10" t="n">
        <v>8</v>
      </c>
      <c r="D82" s="11" t="n">
        <v>52.28</v>
      </c>
      <c r="E82" s="12" t="n">
        <f aca="false">D82*6</f>
        <v>313.68</v>
      </c>
      <c r="F82" s="12" t="n">
        <f aca="false">D82*12</f>
        <v>627.36</v>
      </c>
      <c r="G82" s="11" t="n">
        <v>66.6</v>
      </c>
      <c r="H82" s="11" t="n">
        <v>5851.71</v>
      </c>
      <c r="I82" s="11" t="n">
        <v>428.7</v>
      </c>
      <c r="J82" s="11" t="n">
        <v>9.37</v>
      </c>
      <c r="K82" s="13" t="n">
        <v>0.858</v>
      </c>
    </row>
    <row r="83" customFormat="false" ht="15" hidden="false" customHeight="false" outlineLevel="0" collapsed="false">
      <c r="A83" s="4" t="s">
        <v>514</v>
      </c>
      <c r="B83" s="4" t="s">
        <v>511</v>
      </c>
      <c r="C83" s="5" t="n">
        <v>10</v>
      </c>
      <c r="D83" s="6" t="n">
        <v>64.86</v>
      </c>
      <c r="E83" s="7" t="n">
        <f aca="false">D83*6</f>
        <v>389.16</v>
      </c>
      <c r="F83" s="7" t="n">
        <f aca="false">D83*12</f>
        <v>778.32</v>
      </c>
      <c r="G83" s="6" t="n">
        <v>82.62</v>
      </c>
      <c r="H83" s="6" t="n">
        <v>7154.09</v>
      </c>
      <c r="I83" s="6" t="n">
        <v>524.11</v>
      </c>
      <c r="J83" s="6" t="n">
        <v>9.31</v>
      </c>
      <c r="K83" s="8" t="n">
        <v>0.858</v>
      </c>
    </row>
    <row r="84" customFormat="false" ht="15" hidden="false" customHeight="false" outlineLevel="0" collapsed="false">
      <c r="A84" s="9" t="s">
        <v>515</v>
      </c>
      <c r="B84" s="9" t="s">
        <v>511</v>
      </c>
      <c r="C84" s="10" t="n">
        <v>12.5</v>
      </c>
      <c r="D84" s="11" t="n">
        <v>80.3</v>
      </c>
      <c r="E84" s="12" t="n">
        <f aca="false">D84*6</f>
        <v>481.8</v>
      </c>
      <c r="F84" s="12" t="n">
        <f aca="false">D84*12</f>
        <v>963.6</v>
      </c>
      <c r="G84" s="11" t="n">
        <v>102.3</v>
      </c>
      <c r="H84" s="11" t="n">
        <v>8697.45</v>
      </c>
      <c r="I84" s="11" t="n">
        <v>637.18</v>
      </c>
      <c r="J84" s="11" t="n">
        <v>9.22</v>
      </c>
      <c r="K84" s="13" t="n">
        <v>0.858</v>
      </c>
    </row>
    <row r="85" customFormat="false" ht="15" hidden="false" customHeight="false" outlineLevel="0" collapsed="false">
      <c r="A85" s="4" t="s">
        <v>516</v>
      </c>
      <c r="B85" s="4" t="s">
        <v>517</v>
      </c>
      <c r="C85" s="5" t="n">
        <v>5</v>
      </c>
      <c r="D85" s="6" t="n">
        <v>39.32</v>
      </c>
      <c r="E85" s="7" t="n">
        <f aca="false">D85*6</f>
        <v>235.92</v>
      </c>
      <c r="F85" s="7" t="n">
        <f aca="false">D85*12</f>
        <v>471.84</v>
      </c>
      <c r="G85" s="6" t="n">
        <v>50.09</v>
      </c>
      <c r="H85" s="6" t="n">
        <v>6369.42</v>
      </c>
      <c r="I85" s="6" t="n">
        <v>393.3</v>
      </c>
      <c r="J85" s="6" t="n">
        <v>11.28</v>
      </c>
      <c r="K85" s="8" t="n">
        <v>1.018</v>
      </c>
    </row>
    <row r="86" customFormat="false" ht="15" hidden="false" customHeight="false" outlineLevel="0" collapsed="false">
      <c r="A86" s="9" t="s">
        <v>518</v>
      </c>
      <c r="B86" s="9" t="s">
        <v>517</v>
      </c>
      <c r="C86" s="10" t="n">
        <v>6</v>
      </c>
      <c r="D86" s="11" t="n">
        <v>47.04</v>
      </c>
      <c r="E86" s="12" t="n">
        <f aca="false">D86*6</f>
        <v>282.24</v>
      </c>
      <c r="F86" s="12" t="n">
        <f aca="false">D86*12</f>
        <v>564.48</v>
      </c>
      <c r="G86" s="11" t="n">
        <v>59.92</v>
      </c>
      <c r="H86" s="11" t="n">
        <v>7572.47</v>
      </c>
      <c r="I86" s="11" t="n">
        <v>467.58</v>
      </c>
      <c r="J86" s="11" t="n">
        <v>11.24</v>
      </c>
      <c r="K86" s="13" t="n">
        <v>1.018</v>
      </c>
    </row>
    <row r="87" customFormat="false" ht="15" hidden="false" customHeight="false" outlineLevel="0" collapsed="false">
      <c r="A87" s="4" t="s">
        <v>519</v>
      </c>
      <c r="B87" s="4" t="s">
        <v>517</v>
      </c>
      <c r="C87" s="5" t="n">
        <v>8</v>
      </c>
      <c r="D87" s="6" t="n">
        <v>62.32</v>
      </c>
      <c r="E87" s="7" t="n">
        <f aca="false">D87*6</f>
        <v>373.92</v>
      </c>
      <c r="F87" s="7" t="n">
        <f aca="false">D87*12</f>
        <v>747.84</v>
      </c>
      <c r="G87" s="6" t="n">
        <v>79.39</v>
      </c>
      <c r="H87" s="6" t="n">
        <v>9910.08</v>
      </c>
      <c r="I87" s="6" t="n">
        <v>611.92</v>
      </c>
      <c r="J87" s="6" t="n">
        <v>11.17</v>
      </c>
      <c r="K87" s="8" t="n">
        <v>1.018</v>
      </c>
    </row>
    <row r="88" customFormat="false" ht="15" hidden="false" customHeight="false" outlineLevel="0" collapsed="false">
      <c r="A88" s="9" t="s">
        <v>520</v>
      </c>
      <c r="B88" s="9" t="s">
        <v>517</v>
      </c>
      <c r="C88" s="10" t="n">
        <v>10</v>
      </c>
      <c r="D88" s="11" t="n">
        <v>77.41</v>
      </c>
      <c r="E88" s="12" t="n">
        <f aca="false">D88*6</f>
        <v>464.46</v>
      </c>
      <c r="F88" s="12" t="n">
        <f aca="false">D88*12</f>
        <v>928.92</v>
      </c>
      <c r="G88" s="11" t="n">
        <v>98.61</v>
      </c>
      <c r="H88" s="11" t="n">
        <v>12158.34</v>
      </c>
      <c r="I88" s="11" t="n">
        <v>750.75</v>
      </c>
      <c r="J88" s="11" t="n">
        <v>11.1</v>
      </c>
      <c r="K88" s="13" t="n">
        <v>1.018</v>
      </c>
    </row>
    <row r="89" customFormat="false" ht="15" hidden="false" customHeight="false" outlineLevel="0" collapsed="false">
      <c r="A89" s="4" t="s">
        <v>521</v>
      </c>
      <c r="B89" s="4" t="s">
        <v>517</v>
      </c>
      <c r="C89" s="5" t="n">
        <v>12.5</v>
      </c>
      <c r="D89" s="6" t="n">
        <v>95.99</v>
      </c>
      <c r="E89" s="7" t="n">
        <f aca="false">D89*6</f>
        <v>575.94</v>
      </c>
      <c r="F89" s="7" t="n">
        <f aca="false">D89*12</f>
        <v>1151.88</v>
      </c>
      <c r="G89" s="6" t="n">
        <v>122.29</v>
      </c>
      <c r="H89" s="6" t="n">
        <v>14846.53</v>
      </c>
      <c r="I89" s="6" t="n">
        <v>916.74</v>
      </c>
      <c r="J89" s="6" t="n">
        <v>11.02</v>
      </c>
      <c r="K89" s="8" t="n">
        <v>1.018</v>
      </c>
    </row>
    <row r="90" customFormat="false" ht="15" hidden="false" customHeight="false" outlineLevel="0" collapsed="false">
      <c r="A90" s="9" t="s">
        <v>522</v>
      </c>
      <c r="B90" s="9" t="s">
        <v>523</v>
      </c>
      <c r="C90" s="10" t="n">
        <v>6</v>
      </c>
      <c r="D90" s="11" t="n">
        <v>51.73</v>
      </c>
      <c r="E90" s="12" t="n">
        <f aca="false">D90*6</f>
        <v>310.38</v>
      </c>
      <c r="F90" s="12" t="n">
        <f aca="false">D90*12</f>
        <v>620.76</v>
      </c>
      <c r="G90" s="11" t="n">
        <v>65.9</v>
      </c>
      <c r="H90" s="11" t="n">
        <v>10070.55</v>
      </c>
      <c r="I90" s="11" t="n">
        <v>566.4</v>
      </c>
      <c r="J90" s="11" t="n">
        <v>12.36</v>
      </c>
      <c r="K90" s="13" t="n">
        <v>1.117</v>
      </c>
    </row>
    <row r="91" customFormat="false" ht="15" hidden="false" customHeight="false" outlineLevel="0" collapsed="false">
      <c r="A91" s="4" t="s">
        <v>524</v>
      </c>
      <c r="B91" s="4" t="s">
        <v>523</v>
      </c>
      <c r="C91" s="5" t="n">
        <v>8</v>
      </c>
      <c r="D91" s="6" t="n">
        <v>68.58</v>
      </c>
      <c r="E91" s="7" t="n">
        <f aca="false">D91*6</f>
        <v>411.48</v>
      </c>
      <c r="F91" s="7" t="n">
        <f aca="false">D91*12</f>
        <v>822.96</v>
      </c>
      <c r="G91" s="6" t="n">
        <v>87.36</v>
      </c>
      <c r="H91" s="6" t="n">
        <v>13201.37</v>
      </c>
      <c r="I91" s="6" t="n">
        <v>742.48</v>
      </c>
      <c r="J91" s="6" t="n">
        <v>12.29</v>
      </c>
      <c r="K91" s="8" t="n">
        <v>1.117</v>
      </c>
    </row>
    <row r="92" customFormat="false" ht="15" hidden="false" customHeight="false" outlineLevel="0" collapsed="false">
      <c r="A92" s="9" t="s">
        <v>525</v>
      </c>
      <c r="B92" s="9" t="s">
        <v>523</v>
      </c>
      <c r="C92" s="10" t="n">
        <v>10</v>
      </c>
      <c r="D92" s="11" t="n">
        <v>85.23</v>
      </c>
      <c r="E92" s="12" t="n">
        <f aca="false">D92*6</f>
        <v>511.38</v>
      </c>
      <c r="F92" s="12" t="n">
        <f aca="false">D92*12</f>
        <v>1022.76</v>
      </c>
      <c r="G92" s="11" t="n">
        <v>108.57</v>
      </c>
      <c r="H92" s="11" t="n">
        <v>16223.5</v>
      </c>
      <c r="I92" s="11" t="n">
        <v>912.46</v>
      </c>
      <c r="J92" s="11" t="n">
        <v>12.22</v>
      </c>
      <c r="K92" s="13" t="n">
        <v>1.117</v>
      </c>
    </row>
    <row r="93" customFormat="false" ht="15" hidden="false" customHeight="false" outlineLevel="0" collapsed="false">
      <c r="A93" s="4" t="s">
        <v>526</v>
      </c>
      <c r="B93" s="4" t="s">
        <v>523</v>
      </c>
      <c r="C93" s="5" t="n">
        <v>12.5</v>
      </c>
      <c r="D93" s="6" t="n">
        <v>105.77</v>
      </c>
      <c r="E93" s="7" t="n">
        <f aca="false">D93*6</f>
        <v>634.62</v>
      </c>
      <c r="F93" s="7" t="n">
        <f aca="false">D93*12</f>
        <v>1269.24</v>
      </c>
      <c r="G93" s="6" t="n">
        <v>134.74</v>
      </c>
      <c r="H93" s="6" t="n">
        <v>19852.18</v>
      </c>
      <c r="I93" s="6" t="n">
        <v>1116.55</v>
      </c>
      <c r="J93" s="6" t="n">
        <v>12.14</v>
      </c>
      <c r="K93" s="8" t="n">
        <v>1.117</v>
      </c>
    </row>
    <row r="94" customFormat="false" ht="15" hidden="false" customHeight="false" outlineLevel="0" collapsed="false">
      <c r="A94" s="9" t="s">
        <v>527</v>
      </c>
      <c r="B94" s="9" t="s">
        <v>528</v>
      </c>
      <c r="C94" s="10" t="n">
        <v>6</v>
      </c>
      <c r="D94" s="11" t="n">
        <v>59.25</v>
      </c>
      <c r="E94" s="12" t="n">
        <f aca="false">D94*6</f>
        <v>355.5</v>
      </c>
      <c r="F94" s="12" t="n">
        <f aca="false">D94*12</f>
        <v>711</v>
      </c>
      <c r="G94" s="11" t="n">
        <v>75.47</v>
      </c>
      <c r="H94" s="11" t="n">
        <v>15128.33</v>
      </c>
      <c r="I94" s="11" t="n">
        <v>744.5</v>
      </c>
      <c r="J94" s="11" t="n">
        <v>14.16</v>
      </c>
      <c r="K94" s="13" t="n">
        <v>1.277</v>
      </c>
    </row>
    <row r="95" customFormat="false" ht="15" hidden="false" customHeight="false" outlineLevel="0" collapsed="false">
      <c r="A95" s="4" t="s">
        <v>529</v>
      </c>
      <c r="B95" s="4" t="s">
        <v>528</v>
      </c>
      <c r="C95" s="5" t="n">
        <v>8</v>
      </c>
      <c r="D95" s="6" t="n">
        <v>78.6</v>
      </c>
      <c r="E95" s="7" t="n">
        <f aca="false">D95*6</f>
        <v>471.6</v>
      </c>
      <c r="F95" s="7" t="n">
        <f aca="false">D95*12</f>
        <v>943.2</v>
      </c>
      <c r="G95" s="6" t="n">
        <v>100.13</v>
      </c>
      <c r="H95" s="6" t="n">
        <v>19873.89</v>
      </c>
      <c r="I95" s="6" t="n">
        <v>978.05</v>
      </c>
      <c r="J95" s="6" t="n">
        <v>14.09</v>
      </c>
      <c r="K95" s="8" t="n">
        <v>1.277</v>
      </c>
    </row>
    <row r="96" customFormat="false" ht="15" hidden="false" customHeight="false" outlineLevel="0" collapsed="false">
      <c r="A96" s="9" t="s">
        <v>530</v>
      </c>
      <c r="B96" s="9" t="s">
        <v>528</v>
      </c>
      <c r="C96" s="10" t="n">
        <v>10</v>
      </c>
      <c r="D96" s="11" t="n">
        <v>97.76</v>
      </c>
      <c r="E96" s="12" t="n">
        <f aca="false">D96*6</f>
        <v>586.56</v>
      </c>
      <c r="F96" s="12" t="n">
        <f aca="false">D96*12</f>
        <v>1173.12</v>
      </c>
      <c r="G96" s="11" t="n">
        <v>124.53</v>
      </c>
      <c r="H96" s="11" t="n">
        <v>24475.81</v>
      </c>
      <c r="I96" s="11" t="n">
        <v>1204.52</v>
      </c>
      <c r="J96" s="11" t="n">
        <v>14.02</v>
      </c>
      <c r="K96" s="13" t="n">
        <v>1.277</v>
      </c>
    </row>
    <row r="97" customFormat="false" ht="15" hidden="false" customHeight="false" outlineLevel="0" collapsed="false">
      <c r="A97" s="4" t="s">
        <v>531</v>
      </c>
      <c r="B97" s="4" t="s">
        <v>528</v>
      </c>
      <c r="C97" s="5" t="n">
        <v>12.5</v>
      </c>
      <c r="D97" s="6" t="n">
        <v>121.43</v>
      </c>
      <c r="E97" s="7" t="n">
        <f aca="false">D97*6</f>
        <v>728.58</v>
      </c>
      <c r="F97" s="7" t="n">
        <f aca="false">D97*12</f>
        <v>1457.16</v>
      </c>
      <c r="G97" s="6" t="n">
        <v>154.68</v>
      </c>
      <c r="H97" s="6" t="n">
        <v>30030.67</v>
      </c>
      <c r="I97" s="6" t="n">
        <v>1477.89</v>
      </c>
      <c r="J97" s="6" t="n">
        <v>13.93</v>
      </c>
      <c r="K97" s="8" t="n">
        <v>1.277</v>
      </c>
    </row>
  </sheetData>
  <autoFilter ref="A4:K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3" min="10" style="0" width="11"/>
    <col collapsed="false" customWidth="true" hidden="false" outlineLevel="0" max="15" min="14" style="0" width="10"/>
    <col collapsed="false" customWidth="true" hidden="false" outlineLevel="0" max="16" min="16" style="0" width="21"/>
  </cols>
  <sheetData>
    <row r="1" customFormat="false" ht="17.35" hidden="false" customHeight="false" outlineLevel="0" collapsed="false">
      <c r="A1" s="1" t="s">
        <v>532</v>
      </c>
    </row>
    <row r="2" customFormat="false" ht="15" hidden="false" customHeight="false" outlineLevel="0" collapsed="false">
      <c r="A2" s="2" t="s">
        <v>533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536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customFormat="false" ht="15" hidden="false" customHeight="false" outlineLevel="0" collapsed="false">
      <c r="A5" s="4" t="s">
        <v>537</v>
      </c>
      <c r="B5" s="4" t="s">
        <v>538</v>
      </c>
      <c r="C5" s="14" t="n">
        <v>3.8</v>
      </c>
      <c r="D5" s="14" t="n">
        <v>5.2</v>
      </c>
      <c r="E5" s="15" t="n">
        <v>5</v>
      </c>
      <c r="F5" s="6" t="n">
        <v>6</v>
      </c>
      <c r="G5" s="7" t="n">
        <f aca="false">F5*6</f>
        <v>36</v>
      </c>
      <c r="H5" s="7" t="n">
        <f aca="false">F5*12</f>
        <v>72</v>
      </c>
      <c r="I5" s="6" t="n">
        <v>7.64</v>
      </c>
      <c r="J5" s="7" t="n">
        <v>80.1</v>
      </c>
      <c r="K5" s="7" t="n">
        <v>8.5</v>
      </c>
      <c r="L5" s="7" t="n">
        <v>20</v>
      </c>
      <c r="M5" s="7" t="n">
        <v>3.7</v>
      </c>
      <c r="N5" s="6" t="n">
        <v>3.24</v>
      </c>
      <c r="O5" s="6" t="n">
        <v>1.05</v>
      </c>
      <c r="P5" s="8" t="n">
        <v>0.328</v>
      </c>
    </row>
    <row r="6" customFormat="false" ht="15" hidden="false" customHeight="false" outlineLevel="0" collapsed="false">
      <c r="A6" s="9" t="s">
        <v>539</v>
      </c>
      <c r="B6" s="9" t="s">
        <v>540</v>
      </c>
      <c r="C6" s="16" t="n">
        <v>4.1</v>
      </c>
      <c r="D6" s="16" t="n">
        <v>5.7</v>
      </c>
      <c r="E6" s="17" t="n">
        <v>7</v>
      </c>
      <c r="F6" s="11" t="n">
        <v>8.1</v>
      </c>
      <c r="G6" s="12" t="n">
        <f aca="false">F6*6</f>
        <v>48.6</v>
      </c>
      <c r="H6" s="12" t="n">
        <f aca="false">F6*12</f>
        <v>97.2</v>
      </c>
      <c r="I6" s="11" t="n">
        <v>10.32</v>
      </c>
      <c r="J6" s="12" t="n">
        <v>171</v>
      </c>
      <c r="K6" s="12" t="n">
        <v>15.9</v>
      </c>
      <c r="L6" s="12" t="n">
        <v>34.2</v>
      </c>
      <c r="M6" s="12" t="n">
        <v>5.8</v>
      </c>
      <c r="N6" s="11" t="n">
        <v>4.07</v>
      </c>
      <c r="O6" s="11" t="n">
        <v>1.24</v>
      </c>
      <c r="P6" s="13" t="n">
        <v>0.4</v>
      </c>
    </row>
    <row r="7" customFormat="false" ht="15" hidden="false" customHeight="false" outlineLevel="0" collapsed="false">
      <c r="A7" s="4" t="s">
        <v>541</v>
      </c>
      <c r="B7" s="4" t="s">
        <v>542</v>
      </c>
      <c r="C7" s="14" t="n">
        <v>4.4</v>
      </c>
      <c r="D7" s="14" t="n">
        <v>6.3</v>
      </c>
      <c r="E7" s="15" t="n">
        <v>7</v>
      </c>
      <c r="F7" s="6" t="n">
        <v>10.4</v>
      </c>
      <c r="G7" s="7" t="n">
        <f aca="false">F7*6</f>
        <v>62.4</v>
      </c>
      <c r="H7" s="7" t="n">
        <f aca="false">F7*12</f>
        <v>124.8</v>
      </c>
      <c r="I7" s="6" t="n">
        <v>13.21</v>
      </c>
      <c r="J7" s="7" t="n">
        <v>317.8</v>
      </c>
      <c r="K7" s="7" t="n">
        <v>27.7</v>
      </c>
      <c r="L7" s="7" t="n">
        <v>53</v>
      </c>
      <c r="M7" s="7" t="n">
        <v>8.6</v>
      </c>
      <c r="N7" s="6" t="n">
        <v>4.9</v>
      </c>
      <c r="O7" s="6" t="n">
        <v>1.45</v>
      </c>
      <c r="P7" s="8" t="n">
        <v>0.475</v>
      </c>
    </row>
    <row r="8" customFormat="false" ht="15" hidden="false" customHeight="false" outlineLevel="0" collapsed="false">
      <c r="A8" s="9" t="s">
        <v>543</v>
      </c>
      <c r="B8" s="9" t="s">
        <v>544</v>
      </c>
      <c r="C8" s="16" t="n">
        <v>4.7</v>
      </c>
      <c r="D8" s="16" t="n">
        <v>6.9</v>
      </c>
      <c r="E8" s="17" t="n">
        <v>7</v>
      </c>
      <c r="F8" s="11" t="n">
        <v>12.9</v>
      </c>
      <c r="G8" s="12" t="n">
        <f aca="false">F8*6</f>
        <v>77.4</v>
      </c>
      <c r="H8" s="12" t="n">
        <f aca="false">F8*12</f>
        <v>154.8</v>
      </c>
      <c r="I8" s="11" t="n">
        <v>16.43</v>
      </c>
      <c r="J8" s="12" t="n">
        <v>541.3</v>
      </c>
      <c r="K8" s="12" t="n">
        <v>44.9</v>
      </c>
      <c r="L8" s="12" t="n">
        <v>77.3</v>
      </c>
      <c r="M8" s="12" t="n">
        <v>12.3</v>
      </c>
      <c r="N8" s="11" t="n">
        <v>5.74</v>
      </c>
      <c r="O8" s="11" t="n">
        <v>1.65</v>
      </c>
      <c r="P8" s="13" t="n">
        <v>0.551</v>
      </c>
    </row>
    <row r="9" customFormat="false" ht="15" hidden="false" customHeight="false" outlineLevel="0" collapsed="false">
      <c r="A9" s="4" t="s">
        <v>545</v>
      </c>
      <c r="B9" s="4" t="s">
        <v>546</v>
      </c>
      <c r="C9" s="14" t="n">
        <v>5</v>
      </c>
      <c r="D9" s="14" t="n">
        <v>7.4</v>
      </c>
      <c r="E9" s="15" t="n">
        <v>9</v>
      </c>
      <c r="F9" s="6" t="n">
        <v>15.8</v>
      </c>
      <c r="G9" s="7" t="n">
        <f aca="false">F9*6</f>
        <v>94.8</v>
      </c>
      <c r="H9" s="7" t="n">
        <f aca="false">F9*12</f>
        <v>189.6</v>
      </c>
      <c r="I9" s="6" t="n">
        <v>20.09</v>
      </c>
      <c r="J9" s="7" t="n">
        <v>869.4</v>
      </c>
      <c r="K9" s="7" t="n">
        <v>68.3</v>
      </c>
      <c r="L9" s="7" t="n">
        <v>108.7</v>
      </c>
      <c r="M9" s="7" t="n">
        <v>16.7</v>
      </c>
      <c r="N9" s="6" t="n">
        <v>6.58</v>
      </c>
      <c r="O9" s="6" t="n">
        <v>1.84</v>
      </c>
      <c r="P9" s="8" t="n">
        <v>0.623</v>
      </c>
    </row>
    <row r="10" customFormat="false" ht="15" hidden="false" customHeight="false" outlineLevel="0" collapsed="false">
      <c r="A10" s="9" t="s">
        <v>547</v>
      </c>
      <c r="B10" s="9" t="s">
        <v>548</v>
      </c>
      <c r="C10" s="16" t="n">
        <v>5.3</v>
      </c>
      <c r="D10" s="16" t="n">
        <v>8</v>
      </c>
      <c r="E10" s="17" t="n">
        <v>9</v>
      </c>
      <c r="F10" s="11" t="n">
        <v>18.8</v>
      </c>
      <c r="G10" s="12" t="n">
        <f aca="false">F10*6</f>
        <v>112.8</v>
      </c>
      <c r="H10" s="12" t="n">
        <f aca="false">F10*12</f>
        <v>225.6</v>
      </c>
      <c r="I10" s="11" t="n">
        <v>23.95</v>
      </c>
      <c r="J10" s="12" t="n">
        <v>1317.1</v>
      </c>
      <c r="K10" s="12" t="n">
        <v>100.9</v>
      </c>
      <c r="L10" s="12" t="n">
        <v>146.3</v>
      </c>
      <c r="M10" s="12" t="n">
        <v>22.2</v>
      </c>
      <c r="N10" s="11" t="n">
        <v>7.42</v>
      </c>
      <c r="O10" s="11" t="n">
        <v>2.05</v>
      </c>
      <c r="P10" s="13" t="n">
        <v>0.698</v>
      </c>
    </row>
    <row r="11" customFormat="false" ht="15" hidden="false" customHeight="false" outlineLevel="0" collapsed="false">
      <c r="A11" s="4" t="s">
        <v>549</v>
      </c>
      <c r="B11" s="4" t="s">
        <v>377</v>
      </c>
      <c r="C11" s="14" t="n">
        <v>5.6</v>
      </c>
      <c r="D11" s="14" t="n">
        <v>8.5</v>
      </c>
      <c r="E11" s="15" t="n">
        <v>12</v>
      </c>
      <c r="F11" s="6" t="n">
        <v>22.4</v>
      </c>
      <c r="G11" s="7" t="n">
        <f aca="false">F11*6</f>
        <v>134.4</v>
      </c>
      <c r="H11" s="7" t="n">
        <f aca="false">F11*12</f>
        <v>268.8</v>
      </c>
      <c r="I11" s="6" t="n">
        <v>28.49</v>
      </c>
      <c r="J11" s="7" t="n">
        <v>1943.4</v>
      </c>
      <c r="K11" s="7" t="n">
        <v>142.4</v>
      </c>
      <c r="L11" s="7" t="n">
        <v>194.3</v>
      </c>
      <c r="M11" s="7" t="n">
        <v>28.5</v>
      </c>
      <c r="N11" s="6" t="n">
        <v>8.26</v>
      </c>
      <c r="O11" s="6" t="n">
        <v>2.24</v>
      </c>
      <c r="P11" s="8" t="n">
        <v>0.768</v>
      </c>
    </row>
    <row r="12" customFormat="false" ht="15" hidden="false" customHeight="false" outlineLevel="0" collapsed="false">
      <c r="A12" s="9" t="s">
        <v>550</v>
      </c>
      <c r="B12" s="9" t="s">
        <v>551</v>
      </c>
      <c r="C12" s="16" t="n">
        <v>5.9</v>
      </c>
      <c r="D12" s="16" t="n">
        <v>9.2</v>
      </c>
      <c r="E12" s="17" t="n">
        <v>12</v>
      </c>
      <c r="F12" s="11" t="n">
        <v>26.2</v>
      </c>
      <c r="G12" s="12" t="n">
        <f aca="false">F12*6</f>
        <v>157.2</v>
      </c>
      <c r="H12" s="12" t="n">
        <f aca="false">F12*12</f>
        <v>314.4</v>
      </c>
      <c r="I12" s="11" t="n">
        <v>33.37</v>
      </c>
      <c r="J12" s="12" t="n">
        <v>2772.1</v>
      </c>
      <c r="K12" s="12" t="n">
        <v>204.9</v>
      </c>
      <c r="L12" s="12" t="n">
        <v>252</v>
      </c>
      <c r="M12" s="12" t="n">
        <v>37.3</v>
      </c>
      <c r="N12" s="11" t="n">
        <v>9.11</v>
      </c>
      <c r="O12" s="11" t="n">
        <v>2.48</v>
      </c>
      <c r="P12" s="13" t="n">
        <v>0.848</v>
      </c>
    </row>
    <row r="13" customFormat="false" ht="15" hidden="false" customHeight="false" outlineLevel="0" collapsed="false">
      <c r="A13" s="4" t="s">
        <v>552</v>
      </c>
      <c r="B13" s="4" t="s">
        <v>553</v>
      </c>
      <c r="C13" s="14" t="n">
        <v>6.2</v>
      </c>
      <c r="D13" s="14" t="n">
        <v>9.8</v>
      </c>
      <c r="E13" s="15" t="n">
        <v>15</v>
      </c>
      <c r="F13" s="6" t="n">
        <v>30.7</v>
      </c>
      <c r="G13" s="7" t="n">
        <f aca="false">F13*6</f>
        <v>184.2</v>
      </c>
      <c r="H13" s="7" t="n">
        <f aca="false">F13*12</f>
        <v>368.4</v>
      </c>
      <c r="I13" s="6" t="n">
        <v>39.12</v>
      </c>
      <c r="J13" s="7" t="n">
        <v>3892.2</v>
      </c>
      <c r="K13" s="7" t="n">
        <v>283.6</v>
      </c>
      <c r="L13" s="7" t="n">
        <v>324.3</v>
      </c>
      <c r="M13" s="7" t="n">
        <v>47.3</v>
      </c>
      <c r="N13" s="6" t="n">
        <v>9.97</v>
      </c>
      <c r="O13" s="6" t="n">
        <v>2.69</v>
      </c>
      <c r="P13" s="8" t="n">
        <v>0.922</v>
      </c>
    </row>
    <row r="14" customFormat="false" ht="15" hidden="false" customHeight="false" outlineLevel="0" collapsed="false">
      <c r="A14" s="9" t="s">
        <v>554</v>
      </c>
      <c r="B14" s="9" t="s">
        <v>555</v>
      </c>
      <c r="C14" s="16" t="n">
        <v>6.6</v>
      </c>
      <c r="D14" s="16" t="n">
        <v>10.2</v>
      </c>
      <c r="E14" s="17" t="n">
        <v>15</v>
      </c>
      <c r="F14" s="11" t="n">
        <v>36.1</v>
      </c>
      <c r="G14" s="12" t="n">
        <f aca="false">F14*6</f>
        <v>216.6</v>
      </c>
      <c r="H14" s="12" t="n">
        <f aca="false">F14*12</f>
        <v>433.2</v>
      </c>
      <c r="I14" s="11" t="n">
        <v>45.95</v>
      </c>
      <c r="J14" s="12" t="n">
        <v>5790.5</v>
      </c>
      <c r="K14" s="12" t="n">
        <v>419.9</v>
      </c>
      <c r="L14" s="12" t="n">
        <v>428.9</v>
      </c>
      <c r="M14" s="12" t="n">
        <v>62.2</v>
      </c>
      <c r="N14" s="11" t="n">
        <v>11.23</v>
      </c>
      <c r="O14" s="11" t="n">
        <v>3.02</v>
      </c>
      <c r="P14" s="13" t="n">
        <v>1.041</v>
      </c>
    </row>
    <row r="15" customFormat="false" ht="15" hidden="false" customHeight="false" outlineLevel="0" collapsed="false">
      <c r="A15" s="4" t="s">
        <v>556</v>
      </c>
      <c r="B15" s="4" t="s">
        <v>557</v>
      </c>
      <c r="C15" s="14" t="n">
        <v>7.1</v>
      </c>
      <c r="D15" s="14" t="n">
        <v>10.7</v>
      </c>
      <c r="E15" s="15" t="n">
        <v>15</v>
      </c>
      <c r="F15" s="6" t="n">
        <v>42.2</v>
      </c>
      <c r="G15" s="7" t="n">
        <f aca="false">F15*6</f>
        <v>253.2</v>
      </c>
      <c r="H15" s="7" t="n">
        <f aca="false">F15*12</f>
        <v>506.4</v>
      </c>
      <c r="I15" s="6" t="n">
        <v>53.82</v>
      </c>
      <c r="J15" s="7" t="n">
        <v>8357</v>
      </c>
      <c r="K15" s="7" t="n">
        <v>603.8</v>
      </c>
      <c r="L15" s="7" t="n">
        <v>557.1</v>
      </c>
      <c r="M15" s="7" t="n">
        <v>80.5</v>
      </c>
      <c r="N15" s="6" t="n">
        <v>12.46</v>
      </c>
      <c r="O15" s="6" t="n">
        <v>3.35</v>
      </c>
      <c r="P15" s="8" t="n">
        <v>1.16</v>
      </c>
    </row>
    <row r="16" customFormat="false" ht="15" hidden="false" customHeight="false" outlineLevel="0" collapsed="false">
      <c r="A16" s="9" t="s">
        <v>558</v>
      </c>
      <c r="B16" s="9" t="s">
        <v>559</v>
      </c>
      <c r="C16" s="16" t="n">
        <v>7.5</v>
      </c>
      <c r="D16" s="16" t="n">
        <v>11.5</v>
      </c>
      <c r="E16" s="17" t="n">
        <v>18</v>
      </c>
      <c r="F16" s="11" t="n">
        <v>49.2</v>
      </c>
      <c r="G16" s="12" t="n">
        <f aca="false">F16*6</f>
        <v>295.2</v>
      </c>
      <c r="H16" s="12" t="n">
        <f aca="false">F16*12</f>
        <v>590.4</v>
      </c>
      <c r="I16" s="11" t="n">
        <v>62.61</v>
      </c>
      <c r="J16" s="12" t="n">
        <v>11768.5</v>
      </c>
      <c r="K16" s="12" t="n">
        <v>788.2</v>
      </c>
      <c r="L16" s="12" t="n">
        <v>713.2</v>
      </c>
      <c r="M16" s="12" t="n">
        <v>98.5</v>
      </c>
      <c r="N16" s="11" t="n">
        <v>13.71</v>
      </c>
      <c r="O16" s="11" t="n">
        <v>3.55</v>
      </c>
      <c r="P16" s="13" t="n">
        <v>1.254</v>
      </c>
    </row>
    <row r="17" customFormat="false" ht="15" hidden="false" customHeight="false" outlineLevel="0" collapsed="false">
      <c r="A17" s="4" t="s">
        <v>560</v>
      </c>
      <c r="B17" s="4" t="s">
        <v>561</v>
      </c>
      <c r="C17" s="14" t="n">
        <v>8</v>
      </c>
      <c r="D17" s="14" t="n">
        <v>12.7</v>
      </c>
      <c r="E17" s="15" t="n">
        <v>18</v>
      </c>
      <c r="F17" s="6" t="n">
        <v>57.1</v>
      </c>
      <c r="G17" s="7" t="n">
        <f aca="false">F17*6</f>
        <v>342.6</v>
      </c>
      <c r="H17" s="7" t="n">
        <f aca="false">F17*12</f>
        <v>685.2</v>
      </c>
      <c r="I17" s="6" t="n">
        <v>72.74</v>
      </c>
      <c r="J17" s="7" t="n">
        <v>16267.5</v>
      </c>
      <c r="K17" s="7" t="n">
        <v>1043.5</v>
      </c>
      <c r="L17" s="7" t="n">
        <v>903.8</v>
      </c>
      <c r="M17" s="7" t="n">
        <v>122.8</v>
      </c>
      <c r="N17" s="6" t="n">
        <v>14.95</v>
      </c>
      <c r="O17" s="6" t="n">
        <v>3.79</v>
      </c>
      <c r="P17" s="8" t="n">
        <v>1.353</v>
      </c>
    </row>
    <row r="18" customFormat="false" ht="15" hidden="false" customHeight="false" outlineLevel="0" collapsed="false">
      <c r="A18" s="9" t="s">
        <v>562</v>
      </c>
      <c r="B18" s="9" t="s">
        <v>563</v>
      </c>
      <c r="C18" s="16" t="n">
        <v>8.6</v>
      </c>
      <c r="D18" s="16" t="n">
        <v>13.5</v>
      </c>
      <c r="E18" s="17" t="n">
        <v>21</v>
      </c>
      <c r="F18" s="11" t="n">
        <v>66.3</v>
      </c>
      <c r="G18" s="12" t="n">
        <f aca="false">F18*6</f>
        <v>397.8</v>
      </c>
      <c r="H18" s="12" t="n">
        <f aca="false">F18*12</f>
        <v>795.6</v>
      </c>
      <c r="I18" s="11" t="n">
        <v>84.47</v>
      </c>
      <c r="J18" s="12" t="n">
        <v>23131.5</v>
      </c>
      <c r="K18" s="12" t="n">
        <v>1317.8</v>
      </c>
      <c r="L18" s="12" t="n">
        <v>1156.6</v>
      </c>
      <c r="M18" s="12" t="n">
        <v>146.4</v>
      </c>
      <c r="N18" s="11" t="n">
        <v>16.55</v>
      </c>
      <c r="O18" s="11" t="n">
        <v>3.95</v>
      </c>
      <c r="P18" s="13" t="n">
        <v>1.467</v>
      </c>
    </row>
    <row r="19" customFormat="false" ht="15" hidden="false" customHeight="false" outlineLevel="0" collapsed="false">
      <c r="A19" s="4" t="s">
        <v>564</v>
      </c>
      <c r="B19" s="4" t="s">
        <v>565</v>
      </c>
      <c r="C19" s="14" t="n">
        <v>9.4</v>
      </c>
      <c r="D19" s="14" t="n">
        <v>14.6</v>
      </c>
      <c r="E19" s="15" t="n">
        <v>21</v>
      </c>
      <c r="F19" s="6" t="n">
        <v>77.6</v>
      </c>
      <c r="G19" s="7" t="n">
        <f aca="false">F19*6</f>
        <v>465.6</v>
      </c>
      <c r="H19" s="7" t="n">
        <f aca="false">F19*12</f>
        <v>931.2</v>
      </c>
      <c r="I19" s="6" t="n">
        <v>98.83</v>
      </c>
      <c r="J19" s="7" t="n">
        <v>33747</v>
      </c>
      <c r="K19" s="7" t="n">
        <v>1675.9</v>
      </c>
      <c r="L19" s="7" t="n">
        <v>1499.9</v>
      </c>
      <c r="M19" s="7" t="n">
        <v>176.4</v>
      </c>
      <c r="N19" s="6" t="n">
        <v>18.48</v>
      </c>
      <c r="O19" s="6" t="n">
        <v>4.12</v>
      </c>
      <c r="P19" s="8" t="n">
        <v>1.605</v>
      </c>
    </row>
    <row r="20" customFormat="false" ht="15" hidden="false" customHeight="false" outlineLevel="0" collapsed="false">
      <c r="A20" s="9" t="s">
        <v>566</v>
      </c>
      <c r="B20" s="9" t="s">
        <v>567</v>
      </c>
      <c r="C20" s="16" t="n">
        <v>10.2</v>
      </c>
      <c r="D20" s="16" t="n">
        <v>16</v>
      </c>
      <c r="E20" s="17" t="n">
        <v>21</v>
      </c>
      <c r="F20" s="11" t="n">
        <v>90.7</v>
      </c>
      <c r="G20" s="12" t="n">
        <f aca="false">F20*6</f>
        <v>544.2</v>
      </c>
      <c r="H20" s="12" t="n">
        <f aca="false">F20*12</f>
        <v>1088.4</v>
      </c>
      <c r="I20" s="11" t="n">
        <v>115.53</v>
      </c>
      <c r="J20" s="12" t="n">
        <v>48203.6</v>
      </c>
      <c r="K20" s="12" t="n">
        <v>2141.7</v>
      </c>
      <c r="L20" s="12" t="n">
        <v>1928.1</v>
      </c>
      <c r="M20" s="12" t="n">
        <v>214.2</v>
      </c>
      <c r="N20" s="11" t="n">
        <v>20.43</v>
      </c>
      <c r="O20" s="11" t="n">
        <v>4.31</v>
      </c>
      <c r="P20" s="13" t="n">
        <v>1.744</v>
      </c>
    </row>
    <row r="21" customFormat="false" ht="15" hidden="false" customHeight="false" outlineLevel="0" collapsed="false">
      <c r="A21" s="4" t="s">
        <v>568</v>
      </c>
      <c r="B21" s="4" t="s">
        <v>569</v>
      </c>
      <c r="C21" s="14" t="n">
        <v>11.1</v>
      </c>
      <c r="D21" s="14" t="n">
        <v>17.2</v>
      </c>
      <c r="E21" s="15" t="n">
        <v>24</v>
      </c>
      <c r="F21" s="6" t="n">
        <v>105.5</v>
      </c>
      <c r="G21" s="7" t="n">
        <f aca="false">F21*6</f>
        <v>633</v>
      </c>
      <c r="H21" s="7" t="n">
        <f aca="false">F21*12</f>
        <v>1266</v>
      </c>
      <c r="I21" s="6" t="n">
        <v>134.43</v>
      </c>
      <c r="J21" s="7" t="n">
        <v>67124.5</v>
      </c>
      <c r="K21" s="7" t="n">
        <v>2667.6</v>
      </c>
      <c r="L21" s="7" t="n">
        <v>2440.9</v>
      </c>
      <c r="M21" s="7" t="n">
        <v>254.1</v>
      </c>
      <c r="N21" s="6" t="n">
        <v>22.35</v>
      </c>
      <c r="O21" s="6" t="n">
        <v>4.45</v>
      </c>
      <c r="P21" s="8" t="n">
        <v>1.877</v>
      </c>
    </row>
    <row r="22" customFormat="false" ht="15" hidden="false" customHeight="false" outlineLevel="0" collapsed="false">
      <c r="A22" s="9" t="s">
        <v>570</v>
      </c>
      <c r="B22" s="9" t="s">
        <v>571</v>
      </c>
      <c r="C22" s="16" t="n">
        <v>12</v>
      </c>
      <c r="D22" s="16" t="n">
        <v>19</v>
      </c>
      <c r="E22" s="17" t="n">
        <v>24</v>
      </c>
      <c r="F22" s="11" t="n">
        <v>122.5</v>
      </c>
      <c r="G22" s="12" t="n">
        <f aca="false">F22*6</f>
        <v>735</v>
      </c>
      <c r="H22" s="12" t="n">
        <f aca="false">F22*12</f>
        <v>1470</v>
      </c>
      <c r="I22" s="11" t="n">
        <v>156</v>
      </c>
      <c r="J22" s="12" t="n">
        <v>92093</v>
      </c>
      <c r="K22" s="12" t="n">
        <v>3387.4</v>
      </c>
      <c r="L22" s="12" t="n">
        <v>3069.8</v>
      </c>
      <c r="M22" s="12" t="n">
        <v>307.9</v>
      </c>
      <c r="N22" s="11" t="n">
        <v>24.3</v>
      </c>
      <c r="O22" s="11" t="n">
        <v>4.66</v>
      </c>
      <c r="P22" s="13" t="n">
        <v>2.015</v>
      </c>
    </row>
  </sheetData>
  <autoFilter ref="A4:P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3" min="10" style="0" width="11"/>
    <col collapsed="false" customWidth="true" hidden="false" outlineLevel="0" max="15" min="14" style="0" width="10"/>
    <col collapsed="false" customWidth="true" hidden="false" outlineLevel="0" max="16" min="16" style="0" width="21"/>
  </cols>
  <sheetData>
    <row r="1" customFormat="false" ht="17.35" hidden="false" customHeight="false" outlineLevel="0" collapsed="false">
      <c r="A1" s="1" t="s">
        <v>572</v>
      </c>
    </row>
    <row r="2" customFormat="false" ht="15" hidden="false" customHeight="false" outlineLevel="0" collapsed="false">
      <c r="A2" s="2" t="s">
        <v>533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536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customFormat="false" ht="15" hidden="false" customHeight="false" outlineLevel="0" collapsed="false">
      <c r="A5" s="4" t="s">
        <v>573</v>
      </c>
      <c r="B5" s="4" t="s">
        <v>574</v>
      </c>
      <c r="C5" s="14" t="n">
        <v>5</v>
      </c>
      <c r="D5" s="14" t="n">
        <v>8</v>
      </c>
      <c r="E5" s="15" t="n">
        <v>12</v>
      </c>
      <c r="F5" s="6" t="n">
        <v>16.7</v>
      </c>
      <c r="G5" s="7" t="n">
        <f aca="false">F5*6</f>
        <v>100.2</v>
      </c>
      <c r="H5" s="7" t="n">
        <f aca="false">F5*12</f>
        <v>200.4</v>
      </c>
      <c r="I5" s="6" t="n">
        <v>21.24</v>
      </c>
      <c r="J5" s="7" t="n">
        <v>349.3</v>
      </c>
      <c r="K5" s="7" t="n">
        <v>133.8</v>
      </c>
      <c r="L5" s="7" t="n">
        <v>72.8</v>
      </c>
      <c r="M5" s="7" t="n">
        <v>26.8</v>
      </c>
      <c r="N5" s="6" t="n">
        <v>4.06</v>
      </c>
      <c r="O5" s="6" t="n">
        <v>2.51</v>
      </c>
      <c r="P5" s="8" t="n">
        <v>0.561</v>
      </c>
    </row>
    <row r="6" customFormat="false" ht="15" hidden="false" customHeight="false" outlineLevel="0" collapsed="false">
      <c r="A6" s="9" t="s">
        <v>575</v>
      </c>
      <c r="B6" s="9" t="s">
        <v>576</v>
      </c>
      <c r="C6" s="16" t="n">
        <v>5</v>
      </c>
      <c r="D6" s="16" t="n">
        <v>8</v>
      </c>
      <c r="E6" s="17" t="n">
        <v>12</v>
      </c>
      <c r="F6" s="11" t="n">
        <v>19.9</v>
      </c>
      <c r="G6" s="12" t="n">
        <f aca="false">F6*6</f>
        <v>119.4</v>
      </c>
      <c r="H6" s="12" t="n">
        <f aca="false">F6*12</f>
        <v>238.8</v>
      </c>
      <c r="I6" s="11" t="n">
        <v>25.34</v>
      </c>
      <c r="J6" s="12" t="n">
        <v>606.2</v>
      </c>
      <c r="K6" s="12" t="n">
        <v>230.9</v>
      </c>
      <c r="L6" s="12" t="n">
        <v>106.4</v>
      </c>
      <c r="M6" s="12" t="n">
        <v>38.5</v>
      </c>
      <c r="N6" s="11" t="n">
        <v>4.89</v>
      </c>
      <c r="O6" s="11" t="n">
        <v>3.02</v>
      </c>
      <c r="P6" s="13" t="n">
        <v>0.677</v>
      </c>
    </row>
    <row r="7" customFormat="false" ht="15" hidden="false" customHeight="false" outlineLevel="0" collapsed="false">
      <c r="A7" s="4" t="s">
        <v>577</v>
      </c>
      <c r="B7" s="4" t="s">
        <v>578</v>
      </c>
      <c r="C7" s="14" t="n">
        <v>5.5</v>
      </c>
      <c r="D7" s="14" t="n">
        <v>8.5</v>
      </c>
      <c r="E7" s="15" t="n">
        <v>12</v>
      </c>
      <c r="F7" s="6" t="n">
        <v>24.7</v>
      </c>
      <c r="G7" s="7" t="n">
        <f aca="false">F7*6</f>
        <v>148.2</v>
      </c>
      <c r="H7" s="7" t="n">
        <f aca="false">F7*12</f>
        <v>296.4</v>
      </c>
      <c r="I7" s="6" t="n">
        <v>31.42</v>
      </c>
      <c r="J7" s="7" t="n">
        <v>1033.2</v>
      </c>
      <c r="K7" s="7" t="n">
        <v>389.3</v>
      </c>
      <c r="L7" s="7" t="n">
        <v>155.4</v>
      </c>
      <c r="M7" s="7" t="n">
        <v>55.6</v>
      </c>
      <c r="N7" s="6" t="n">
        <v>5.73</v>
      </c>
      <c r="O7" s="6" t="n">
        <v>3.52</v>
      </c>
      <c r="P7" s="8" t="n">
        <v>0.794</v>
      </c>
    </row>
    <row r="8" customFormat="false" ht="15" hidden="false" customHeight="false" outlineLevel="0" collapsed="false">
      <c r="A8" s="9" t="s">
        <v>579</v>
      </c>
      <c r="B8" s="9" t="s">
        <v>580</v>
      </c>
      <c r="C8" s="16" t="n">
        <v>6</v>
      </c>
      <c r="D8" s="16" t="n">
        <v>9</v>
      </c>
      <c r="E8" s="17" t="n">
        <v>15</v>
      </c>
      <c r="F8" s="11" t="n">
        <v>30.4</v>
      </c>
      <c r="G8" s="12" t="n">
        <f aca="false">F8*6</f>
        <v>182.4</v>
      </c>
      <c r="H8" s="12" t="n">
        <f aca="false">F8*12</f>
        <v>364.8</v>
      </c>
      <c r="I8" s="11" t="n">
        <v>38.78</v>
      </c>
      <c r="J8" s="12" t="n">
        <v>1673.2</v>
      </c>
      <c r="K8" s="12" t="n">
        <v>615.6</v>
      </c>
      <c r="L8" s="12" t="n">
        <v>220.2</v>
      </c>
      <c r="M8" s="12" t="n">
        <v>76.9</v>
      </c>
      <c r="N8" s="11" t="n">
        <v>6.57</v>
      </c>
      <c r="O8" s="11" t="n">
        <v>3.98</v>
      </c>
      <c r="P8" s="13" t="n">
        <v>0.906</v>
      </c>
    </row>
    <row r="9" customFormat="false" ht="15" hidden="false" customHeight="false" outlineLevel="0" collapsed="false">
      <c r="A9" s="4" t="s">
        <v>581</v>
      </c>
      <c r="B9" s="4" t="s">
        <v>582</v>
      </c>
      <c r="C9" s="14" t="n">
        <v>6</v>
      </c>
      <c r="D9" s="14" t="n">
        <v>9.5</v>
      </c>
      <c r="E9" s="15" t="n">
        <v>15</v>
      </c>
      <c r="F9" s="6" t="n">
        <v>35.5</v>
      </c>
      <c r="G9" s="7" t="n">
        <f aca="false">F9*6</f>
        <v>213</v>
      </c>
      <c r="H9" s="7" t="n">
        <f aca="false">F9*12</f>
        <v>426</v>
      </c>
      <c r="I9" s="6" t="n">
        <v>45.26</v>
      </c>
      <c r="J9" s="7" t="n">
        <v>2510.5</v>
      </c>
      <c r="K9" s="7" t="n">
        <v>924.6</v>
      </c>
      <c r="L9" s="7" t="n">
        <v>293.6</v>
      </c>
      <c r="M9" s="7" t="n">
        <v>102.7</v>
      </c>
      <c r="N9" s="6" t="n">
        <v>7.45</v>
      </c>
      <c r="O9" s="6" t="n">
        <v>4.52</v>
      </c>
      <c r="P9" s="8" t="n">
        <v>1.024</v>
      </c>
    </row>
    <row r="10" customFormat="false" ht="15" hidden="false" customHeight="false" outlineLevel="0" collapsed="false">
      <c r="A10" s="9" t="s">
        <v>583</v>
      </c>
      <c r="B10" s="9" t="s">
        <v>584</v>
      </c>
      <c r="C10" s="16" t="n">
        <v>6.5</v>
      </c>
      <c r="D10" s="16" t="n">
        <v>10</v>
      </c>
      <c r="E10" s="17" t="n">
        <v>18</v>
      </c>
      <c r="F10" s="11" t="n">
        <v>42.3</v>
      </c>
      <c r="G10" s="12" t="n">
        <f aca="false">F10*6</f>
        <v>253.8</v>
      </c>
      <c r="H10" s="12" t="n">
        <f aca="false">F10*12</f>
        <v>507.6</v>
      </c>
      <c r="I10" s="11" t="n">
        <v>53.84</v>
      </c>
      <c r="J10" s="12" t="n">
        <v>3692.6</v>
      </c>
      <c r="K10" s="12" t="n">
        <v>1335.5</v>
      </c>
      <c r="L10" s="12" t="n">
        <v>388.7</v>
      </c>
      <c r="M10" s="12" t="n">
        <v>133.6</v>
      </c>
      <c r="N10" s="11" t="n">
        <v>8.28</v>
      </c>
      <c r="O10" s="11" t="n">
        <v>4.98</v>
      </c>
      <c r="P10" s="13" t="n">
        <v>1.136</v>
      </c>
    </row>
    <row r="11" customFormat="false" ht="15" hidden="false" customHeight="false" outlineLevel="0" collapsed="false">
      <c r="A11" s="4" t="s">
        <v>585</v>
      </c>
      <c r="B11" s="4" t="s">
        <v>586</v>
      </c>
      <c r="C11" s="14" t="n">
        <v>7</v>
      </c>
      <c r="D11" s="14" t="n">
        <v>11</v>
      </c>
      <c r="E11" s="15" t="n">
        <v>18</v>
      </c>
      <c r="F11" s="6" t="n">
        <v>50.5</v>
      </c>
      <c r="G11" s="7" t="n">
        <f aca="false">F11*6</f>
        <v>303</v>
      </c>
      <c r="H11" s="7" t="n">
        <f aca="false">F11*12</f>
        <v>606</v>
      </c>
      <c r="I11" s="6" t="n">
        <v>64.35</v>
      </c>
      <c r="J11" s="7" t="n">
        <v>5410.3</v>
      </c>
      <c r="K11" s="7" t="n">
        <v>1954.6</v>
      </c>
      <c r="L11" s="7" t="n">
        <v>515.3</v>
      </c>
      <c r="M11" s="7" t="n">
        <v>177.7</v>
      </c>
      <c r="N11" s="6" t="n">
        <v>9.17</v>
      </c>
      <c r="O11" s="6" t="n">
        <v>5.51</v>
      </c>
      <c r="P11" s="8" t="n">
        <v>1.255</v>
      </c>
    </row>
    <row r="12" customFormat="false" ht="15" hidden="false" customHeight="false" outlineLevel="0" collapsed="false">
      <c r="A12" s="9" t="s">
        <v>587</v>
      </c>
      <c r="B12" s="9" t="s">
        <v>588</v>
      </c>
      <c r="C12" s="16" t="n">
        <v>7.5</v>
      </c>
      <c r="D12" s="16" t="n">
        <v>12</v>
      </c>
      <c r="E12" s="17" t="n">
        <v>21</v>
      </c>
      <c r="F12" s="11" t="n">
        <v>60.3</v>
      </c>
      <c r="G12" s="12" t="n">
        <f aca="false">F12*6</f>
        <v>361.8</v>
      </c>
      <c r="H12" s="12" t="n">
        <f aca="false">F12*12</f>
        <v>723.6</v>
      </c>
      <c r="I12" s="11" t="n">
        <v>76.85</v>
      </c>
      <c r="J12" s="12" t="n">
        <v>7764.1</v>
      </c>
      <c r="K12" s="12" t="n">
        <v>2768.8</v>
      </c>
      <c r="L12" s="12" t="n">
        <v>675.1</v>
      </c>
      <c r="M12" s="12" t="n">
        <v>230.7</v>
      </c>
      <c r="N12" s="11" t="n">
        <v>10.05</v>
      </c>
      <c r="O12" s="11" t="n">
        <v>6</v>
      </c>
      <c r="P12" s="13" t="n">
        <v>1.369</v>
      </c>
    </row>
    <row r="13" customFormat="false" ht="15" hidden="false" customHeight="false" outlineLevel="0" collapsed="false">
      <c r="A13" s="4" t="s">
        <v>589</v>
      </c>
      <c r="B13" s="4" t="s">
        <v>590</v>
      </c>
      <c r="C13" s="14" t="n">
        <v>7.5</v>
      </c>
      <c r="D13" s="14" t="n">
        <v>12.5</v>
      </c>
      <c r="E13" s="15" t="n">
        <v>24</v>
      </c>
      <c r="F13" s="6" t="n">
        <v>68.2</v>
      </c>
      <c r="G13" s="7" t="n">
        <f aca="false">F13*6</f>
        <v>409.2</v>
      </c>
      <c r="H13" s="7" t="n">
        <f aca="false">F13*12</f>
        <v>818.4</v>
      </c>
      <c r="I13" s="6" t="n">
        <v>86.83</v>
      </c>
      <c r="J13" s="7" t="n">
        <v>10456.4</v>
      </c>
      <c r="K13" s="7" t="n">
        <v>3667.6</v>
      </c>
      <c r="L13" s="7" t="n">
        <v>836.5</v>
      </c>
      <c r="M13" s="7" t="n">
        <v>282.1</v>
      </c>
      <c r="N13" s="6" t="n">
        <v>10.97</v>
      </c>
      <c r="O13" s="6" t="n">
        <v>6.5</v>
      </c>
      <c r="P13" s="8" t="n">
        <v>1.484</v>
      </c>
    </row>
    <row r="14" customFormat="false" ht="15" hidden="false" customHeight="false" outlineLevel="0" collapsed="false">
      <c r="A14" s="9" t="s">
        <v>591</v>
      </c>
      <c r="B14" s="9" t="s">
        <v>592</v>
      </c>
      <c r="C14" s="16" t="n">
        <v>8</v>
      </c>
      <c r="D14" s="16" t="n">
        <v>13</v>
      </c>
      <c r="E14" s="17" t="n">
        <v>24</v>
      </c>
      <c r="F14" s="11" t="n">
        <v>76.4</v>
      </c>
      <c r="G14" s="12" t="n">
        <f aca="false">F14*6</f>
        <v>458.4</v>
      </c>
      <c r="H14" s="12" t="n">
        <f aca="false">F14*12</f>
        <v>916.8</v>
      </c>
      <c r="I14" s="11" t="n">
        <v>97.28</v>
      </c>
      <c r="J14" s="12" t="n">
        <v>13675</v>
      </c>
      <c r="K14" s="12" t="n">
        <v>4762.7</v>
      </c>
      <c r="L14" s="12" t="n">
        <v>1013</v>
      </c>
      <c r="M14" s="12" t="n">
        <v>340.2</v>
      </c>
      <c r="N14" s="11" t="n">
        <v>11.86</v>
      </c>
      <c r="O14" s="11" t="n">
        <v>7</v>
      </c>
      <c r="P14" s="13" t="n">
        <v>1.603</v>
      </c>
    </row>
    <row r="15" customFormat="false" ht="15" hidden="false" customHeight="false" outlineLevel="0" collapsed="false">
      <c r="A15" s="4" t="s">
        <v>593</v>
      </c>
      <c r="B15" s="4" t="s">
        <v>594</v>
      </c>
      <c r="C15" s="14" t="n">
        <v>8.5</v>
      </c>
      <c r="D15" s="14" t="n">
        <v>14</v>
      </c>
      <c r="E15" s="15" t="n">
        <v>27</v>
      </c>
      <c r="F15" s="6" t="n">
        <v>88.3</v>
      </c>
      <c r="G15" s="7" t="n">
        <f aca="false">F15*6</f>
        <v>529.8</v>
      </c>
      <c r="H15" s="7" t="n">
        <f aca="false">F15*12</f>
        <v>1059.6</v>
      </c>
      <c r="I15" s="6" t="n">
        <v>112.54</v>
      </c>
      <c r="J15" s="7" t="n">
        <v>18265.9</v>
      </c>
      <c r="K15" s="7" t="n">
        <v>6309.6</v>
      </c>
      <c r="L15" s="7" t="n">
        <v>1259.7</v>
      </c>
      <c r="M15" s="7" t="n">
        <v>420.6</v>
      </c>
      <c r="N15" s="6" t="n">
        <v>12.74</v>
      </c>
      <c r="O15" s="6" t="n">
        <v>7.49</v>
      </c>
      <c r="P15" s="8" t="n">
        <v>1.717</v>
      </c>
    </row>
    <row r="16" customFormat="false" ht="15" hidden="false" customHeight="false" outlineLevel="0" collapsed="false">
      <c r="A16" s="9" t="s">
        <v>595</v>
      </c>
      <c r="B16" s="9" t="s">
        <v>596</v>
      </c>
      <c r="C16" s="16" t="n">
        <v>9</v>
      </c>
      <c r="D16" s="16" t="n">
        <v>15.5</v>
      </c>
      <c r="E16" s="17" t="n">
        <v>27</v>
      </c>
      <c r="F16" s="11" t="n">
        <v>97.6</v>
      </c>
      <c r="G16" s="12" t="n">
        <f aca="false">F16*6</f>
        <v>585.6</v>
      </c>
      <c r="H16" s="12" t="n">
        <f aca="false">F16*12</f>
        <v>1171.2</v>
      </c>
      <c r="I16" s="11" t="n">
        <v>124.38</v>
      </c>
      <c r="J16" s="12" t="n">
        <v>22931.4</v>
      </c>
      <c r="K16" s="12" t="n">
        <v>6985.3</v>
      </c>
      <c r="L16" s="12" t="n">
        <v>1479.4</v>
      </c>
      <c r="M16" s="12" t="n">
        <v>465.7</v>
      </c>
      <c r="N16" s="11" t="n">
        <v>13.58</v>
      </c>
      <c r="O16" s="11" t="n">
        <v>7.49</v>
      </c>
      <c r="P16" s="13" t="n">
        <v>1.756</v>
      </c>
    </row>
    <row r="17" customFormat="false" ht="15" hidden="false" customHeight="false" outlineLevel="0" collapsed="false">
      <c r="A17" s="4" t="s">
        <v>597</v>
      </c>
      <c r="B17" s="4" t="s">
        <v>598</v>
      </c>
      <c r="C17" s="14" t="n">
        <v>9.5</v>
      </c>
      <c r="D17" s="14" t="n">
        <v>16.5</v>
      </c>
      <c r="E17" s="15" t="n">
        <v>27</v>
      </c>
      <c r="F17" s="6" t="n">
        <v>104.8</v>
      </c>
      <c r="G17" s="7" t="n">
        <f aca="false">F17*6</f>
        <v>628.8</v>
      </c>
      <c r="H17" s="7" t="n">
        <f aca="false">F17*12</f>
        <v>1257.6</v>
      </c>
      <c r="I17" s="6" t="n">
        <v>133.49</v>
      </c>
      <c r="J17" s="7" t="n">
        <v>27696.3</v>
      </c>
      <c r="K17" s="7" t="n">
        <v>7436</v>
      </c>
      <c r="L17" s="7" t="n">
        <v>1678.6</v>
      </c>
      <c r="M17" s="7" t="n">
        <v>495.7</v>
      </c>
      <c r="N17" s="6" t="n">
        <v>14.4</v>
      </c>
      <c r="O17" s="6" t="n">
        <v>7.46</v>
      </c>
      <c r="P17" s="8" t="n">
        <v>1.795</v>
      </c>
    </row>
    <row r="18" customFormat="false" ht="15" hidden="false" customHeight="false" outlineLevel="0" collapsed="false">
      <c r="A18" s="9" t="s">
        <v>599</v>
      </c>
      <c r="B18" s="9" t="s">
        <v>600</v>
      </c>
      <c r="C18" s="16" t="n">
        <v>10</v>
      </c>
      <c r="D18" s="16" t="n">
        <v>17.5</v>
      </c>
      <c r="E18" s="17" t="n">
        <v>27</v>
      </c>
      <c r="F18" s="11" t="n">
        <v>112.1</v>
      </c>
      <c r="G18" s="12" t="n">
        <f aca="false">F18*6</f>
        <v>672.6</v>
      </c>
      <c r="H18" s="12" t="n">
        <f aca="false">F18*12</f>
        <v>1345.2</v>
      </c>
      <c r="I18" s="11" t="n">
        <v>142.77</v>
      </c>
      <c r="J18" s="12" t="n">
        <v>33093.4</v>
      </c>
      <c r="K18" s="12" t="n">
        <v>7886.9</v>
      </c>
      <c r="L18" s="12" t="n">
        <v>1891</v>
      </c>
      <c r="M18" s="12" t="n">
        <v>525.8</v>
      </c>
      <c r="N18" s="11" t="n">
        <v>15.22</v>
      </c>
      <c r="O18" s="11" t="n">
        <v>7.43</v>
      </c>
      <c r="P18" s="13" t="n">
        <v>1.834</v>
      </c>
    </row>
    <row r="19" customFormat="false" ht="15" hidden="false" customHeight="false" outlineLevel="0" collapsed="false">
      <c r="A19" s="4" t="s">
        <v>601</v>
      </c>
      <c r="B19" s="4" t="s">
        <v>602</v>
      </c>
      <c r="C19" s="14" t="n">
        <v>11</v>
      </c>
      <c r="D19" s="14" t="n">
        <v>19</v>
      </c>
      <c r="E19" s="15" t="n">
        <v>27</v>
      </c>
      <c r="F19" s="6" t="n">
        <v>124.8</v>
      </c>
      <c r="G19" s="7" t="n">
        <f aca="false">F19*6</f>
        <v>748.8</v>
      </c>
      <c r="H19" s="7" t="n">
        <f aca="false">F19*12</f>
        <v>1497.6</v>
      </c>
      <c r="I19" s="6" t="n">
        <v>158.99</v>
      </c>
      <c r="J19" s="7" t="n">
        <v>45073.9</v>
      </c>
      <c r="K19" s="7" t="n">
        <v>8563.9</v>
      </c>
      <c r="L19" s="7" t="n">
        <v>2311.5</v>
      </c>
      <c r="M19" s="7" t="n">
        <v>570.9</v>
      </c>
      <c r="N19" s="6" t="n">
        <v>16.84</v>
      </c>
      <c r="O19" s="6" t="n">
        <v>7.34</v>
      </c>
      <c r="P19" s="8" t="n">
        <v>1.912</v>
      </c>
    </row>
    <row r="20" customFormat="false" ht="15" hidden="false" customHeight="false" outlineLevel="0" collapsed="false">
      <c r="A20" s="9" t="s">
        <v>603</v>
      </c>
      <c r="B20" s="9" t="s">
        <v>604</v>
      </c>
      <c r="C20" s="16" t="n">
        <v>11.5</v>
      </c>
      <c r="D20" s="16" t="n">
        <v>21</v>
      </c>
      <c r="E20" s="17" t="n">
        <v>27</v>
      </c>
      <c r="F20" s="11" t="n">
        <v>139.8</v>
      </c>
      <c r="G20" s="12" t="n">
        <f aca="false">F20*6</f>
        <v>838.8</v>
      </c>
      <c r="H20" s="12" t="n">
        <f aca="false">F20*12</f>
        <v>1677.6</v>
      </c>
      <c r="I20" s="11" t="n">
        <v>178.04</v>
      </c>
      <c r="J20" s="12" t="n">
        <v>63727.5</v>
      </c>
      <c r="K20" s="12" t="n">
        <v>9465.4</v>
      </c>
      <c r="L20" s="12" t="n">
        <v>2896.7</v>
      </c>
      <c r="M20" s="12" t="n">
        <v>631</v>
      </c>
      <c r="N20" s="11" t="n">
        <v>18.92</v>
      </c>
      <c r="O20" s="11" t="n">
        <v>7.29</v>
      </c>
      <c r="P20" s="13" t="n">
        <v>2.011</v>
      </c>
    </row>
    <row r="21" customFormat="false" ht="15" hidden="false" customHeight="false" outlineLevel="0" collapsed="false">
      <c r="A21" s="4" t="s">
        <v>605</v>
      </c>
      <c r="B21" s="4" t="s">
        <v>606</v>
      </c>
      <c r="C21" s="14" t="n">
        <v>12</v>
      </c>
      <c r="D21" s="14" t="n">
        <v>23</v>
      </c>
      <c r="E21" s="15" t="n">
        <v>27</v>
      </c>
      <c r="F21" s="6" t="n">
        <v>155.1</v>
      </c>
      <c r="G21" s="7" t="n">
        <f aca="false">F21*6</f>
        <v>930.6</v>
      </c>
      <c r="H21" s="7" t="n">
        <f aca="false">F21*12</f>
        <v>1861.2</v>
      </c>
      <c r="I21" s="6" t="n">
        <v>197.55</v>
      </c>
      <c r="J21" s="7" t="n">
        <v>86982.2</v>
      </c>
      <c r="K21" s="7" t="n">
        <v>10367.1</v>
      </c>
      <c r="L21" s="7" t="n">
        <v>3550.3</v>
      </c>
      <c r="M21" s="7" t="n">
        <v>691.1</v>
      </c>
      <c r="N21" s="6" t="n">
        <v>20.98</v>
      </c>
      <c r="O21" s="6" t="n">
        <v>7.24</v>
      </c>
      <c r="P21" s="8" t="n">
        <v>2.11</v>
      </c>
    </row>
    <row r="22" customFormat="false" ht="15" hidden="false" customHeight="false" outlineLevel="0" collapsed="false">
      <c r="A22" s="9" t="s">
        <v>607</v>
      </c>
      <c r="B22" s="9" t="s">
        <v>608</v>
      </c>
      <c r="C22" s="16" t="n">
        <v>12.5</v>
      </c>
      <c r="D22" s="16" t="n">
        <v>24</v>
      </c>
      <c r="E22" s="17" t="n">
        <v>27</v>
      </c>
      <c r="F22" s="11" t="n">
        <v>166.2</v>
      </c>
      <c r="G22" s="12" t="n">
        <f aca="false">F22*6</f>
        <v>997.2</v>
      </c>
      <c r="H22" s="12" t="n">
        <f aca="false">F22*12</f>
        <v>1994.4</v>
      </c>
      <c r="I22" s="11" t="n">
        <v>211.77</v>
      </c>
      <c r="J22" s="12" t="n">
        <v>111941.4</v>
      </c>
      <c r="K22" s="12" t="n">
        <v>10819.1</v>
      </c>
      <c r="L22" s="12" t="n">
        <v>4146</v>
      </c>
      <c r="M22" s="12" t="n">
        <v>721.3</v>
      </c>
      <c r="N22" s="11" t="n">
        <v>22.99</v>
      </c>
      <c r="O22" s="11" t="n">
        <v>7.15</v>
      </c>
      <c r="P22" s="13" t="n">
        <v>2.209</v>
      </c>
    </row>
    <row r="23" customFormat="false" ht="15" hidden="false" customHeight="false" outlineLevel="0" collapsed="false">
      <c r="A23" s="4" t="s">
        <v>609</v>
      </c>
      <c r="B23" s="4" t="s">
        <v>610</v>
      </c>
      <c r="C23" s="14" t="n">
        <v>13</v>
      </c>
      <c r="D23" s="14" t="n">
        <v>25</v>
      </c>
      <c r="E23" s="15" t="n">
        <v>27</v>
      </c>
      <c r="F23" s="6" t="n">
        <v>177.8</v>
      </c>
      <c r="G23" s="7" t="n">
        <f aca="false">F23*6</f>
        <v>1066.8</v>
      </c>
      <c r="H23" s="7" t="n">
        <f aca="false">F23*12</f>
        <v>2133.6</v>
      </c>
      <c r="I23" s="6" t="n">
        <v>226.47</v>
      </c>
      <c r="J23" s="7" t="n">
        <v>141219.2</v>
      </c>
      <c r="K23" s="7" t="n">
        <v>11271.4</v>
      </c>
      <c r="L23" s="7" t="n">
        <v>4787.1</v>
      </c>
      <c r="M23" s="7" t="n">
        <v>751.4</v>
      </c>
      <c r="N23" s="6" t="n">
        <v>24.97</v>
      </c>
      <c r="O23" s="6" t="n">
        <v>7.05</v>
      </c>
      <c r="P23" s="8" t="n">
        <v>2.308</v>
      </c>
    </row>
    <row r="24" customFormat="false" ht="15" hidden="false" customHeight="false" outlineLevel="0" collapsed="false">
      <c r="A24" s="9" t="s">
        <v>611</v>
      </c>
      <c r="B24" s="9" t="s">
        <v>612</v>
      </c>
      <c r="C24" s="16" t="n">
        <v>13.5</v>
      </c>
      <c r="D24" s="16" t="n">
        <v>26</v>
      </c>
      <c r="E24" s="17" t="n">
        <v>27</v>
      </c>
      <c r="F24" s="11" t="n">
        <v>189.7</v>
      </c>
      <c r="G24" s="12" t="n">
        <f aca="false">F24*6</f>
        <v>1138.2</v>
      </c>
      <c r="H24" s="12" t="n">
        <f aca="false">F24*12</f>
        <v>2276.4</v>
      </c>
      <c r="I24" s="11" t="n">
        <v>241.65</v>
      </c>
      <c r="J24" s="12" t="n">
        <v>175191.4</v>
      </c>
      <c r="K24" s="12" t="n">
        <v>11723.9</v>
      </c>
      <c r="L24" s="12" t="n">
        <v>5474.7</v>
      </c>
      <c r="M24" s="12" t="n">
        <v>781.6</v>
      </c>
      <c r="N24" s="11" t="n">
        <v>26.93</v>
      </c>
      <c r="O24" s="11" t="n">
        <v>6.97</v>
      </c>
      <c r="P24" s="13" t="n">
        <v>2.407</v>
      </c>
    </row>
    <row r="25" customFormat="false" ht="15" hidden="false" customHeight="false" outlineLevel="0" collapsed="false">
      <c r="A25" s="4" t="s">
        <v>613</v>
      </c>
      <c r="B25" s="4" t="s">
        <v>614</v>
      </c>
      <c r="C25" s="14" t="n">
        <v>14.5</v>
      </c>
      <c r="D25" s="14" t="n">
        <v>27</v>
      </c>
      <c r="E25" s="15" t="n">
        <v>27</v>
      </c>
      <c r="F25" s="6" t="n">
        <v>204.5</v>
      </c>
      <c r="G25" s="7" t="n">
        <f aca="false">F25*6</f>
        <v>1227</v>
      </c>
      <c r="H25" s="7" t="n">
        <f aca="false">F25*12</f>
        <v>2454</v>
      </c>
      <c r="I25" s="6" t="n">
        <v>260.49</v>
      </c>
      <c r="J25" s="7" t="n">
        <v>215316.9</v>
      </c>
      <c r="K25" s="7" t="n">
        <v>12178.9</v>
      </c>
      <c r="L25" s="7" t="n">
        <v>6241.1</v>
      </c>
      <c r="M25" s="7" t="n">
        <v>811.9</v>
      </c>
      <c r="N25" s="6" t="n">
        <v>28.75</v>
      </c>
      <c r="O25" s="6" t="n">
        <v>6.84</v>
      </c>
      <c r="P25" s="8" t="n">
        <v>2.505</v>
      </c>
    </row>
    <row r="26" customFormat="false" ht="15" hidden="false" customHeight="false" outlineLevel="0" collapsed="false">
      <c r="A26" s="9" t="s">
        <v>615</v>
      </c>
      <c r="B26" s="9" t="s">
        <v>616</v>
      </c>
      <c r="C26" s="16" t="n">
        <v>15</v>
      </c>
      <c r="D26" s="16" t="n">
        <v>28</v>
      </c>
      <c r="E26" s="17" t="n">
        <v>30</v>
      </c>
      <c r="F26" s="11" t="n">
        <v>224.4</v>
      </c>
      <c r="G26" s="12" t="n">
        <f aca="false">F26*6</f>
        <v>1346.4</v>
      </c>
      <c r="H26" s="12" t="n">
        <f aca="false">F26*12</f>
        <v>2692.8</v>
      </c>
      <c r="I26" s="11" t="n">
        <v>285.85</v>
      </c>
      <c r="J26" s="12" t="n">
        <v>303468.3</v>
      </c>
      <c r="K26" s="12" t="n">
        <v>12638.8</v>
      </c>
      <c r="L26" s="12" t="n">
        <v>7682.7</v>
      </c>
      <c r="M26" s="12" t="n">
        <v>842.6</v>
      </c>
      <c r="N26" s="11" t="n">
        <v>32.58</v>
      </c>
      <c r="O26" s="11" t="n">
        <v>6.65</v>
      </c>
      <c r="P26" s="13" t="n">
        <v>2.698</v>
      </c>
    </row>
    <row r="27" customFormat="false" ht="15" hidden="false" customHeight="false" outlineLevel="0" collapsed="false">
      <c r="A27" s="4" t="s">
        <v>617</v>
      </c>
      <c r="B27" s="4" t="s">
        <v>618</v>
      </c>
      <c r="C27" s="14" t="n">
        <v>16</v>
      </c>
      <c r="D27" s="14" t="n">
        <v>30</v>
      </c>
      <c r="E27" s="15" t="n">
        <v>30</v>
      </c>
      <c r="F27" s="6" t="n">
        <v>251.6</v>
      </c>
      <c r="G27" s="7" t="n">
        <f aca="false">F27*6</f>
        <v>1509.6</v>
      </c>
      <c r="H27" s="7" t="n">
        <f aca="false">F27*12</f>
        <v>3019.2</v>
      </c>
      <c r="I27" s="6" t="n">
        <v>320.55</v>
      </c>
      <c r="J27" s="7" t="n">
        <v>422108</v>
      </c>
      <c r="K27" s="7" t="n">
        <v>13547.6</v>
      </c>
      <c r="L27" s="7" t="n">
        <v>9485.6</v>
      </c>
      <c r="M27" s="7" t="n">
        <v>903.2</v>
      </c>
      <c r="N27" s="6" t="n">
        <v>36.29</v>
      </c>
      <c r="O27" s="6" t="n">
        <v>6.5</v>
      </c>
      <c r="P27" s="8" t="n">
        <v>2.896</v>
      </c>
    </row>
    <row r="28" customFormat="false" ht="15" hidden="false" customHeight="false" outlineLevel="0" collapsed="false">
      <c r="A28" s="9" t="s">
        <v>619</v>
      </c>
      <c r="B28" s="9" t="s">
        <v>620</v>
      </c>
      <c r="C28" s="16" t="n">
        <v>16.5</v>
      </c>
      <c r="D28" s="16" t="n">
        <v>31</v>
      </c>
      <c r="E28" s="17" t="n">
        <v>30</v>
      </c>
      <c r="F28" s="11" t="n">
        <v>272.3</v>
      </c>
      <c r="G28" s="12" t="n">
        <f aca="false">F28*6</f>
        <v>1633.8</v>
      </c>
      <c r="H28" s="12" t="n">
        <f aca="false">F28*12</f>
        <v>3267.6</v>
      </c>
      <c r="I28" s="11" t="n">
        <v>346.87</v>
      </c>
      <c r="J28" s="12" t="n">
        <v>553887.7</v>
      </c>
      <c r="K28" s="12" t="n">
        <v>14004.5</v>
      </c>
      <c r="L28" s="12" t="n">
        <v>11189.7</v>
      </c>
      <c r="M28" s="12" t="n">
        <v>933.6</v>
      </c>
      <c r="N28" s="11" t="n">
        <v>39.96</v>
      </c>
      <c r="O28" s="11" t="n">
        <v>6.35</v>
      </c>
      <c r="P28" s="13" t="n">
        <v>3.095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3" min="10" style="0" width="11"/>
    <col collapsed="false" customWidth="true" hidden="false" outlineLevel="0" max="15" min="14" style="0" width="10"/>
    <col collapsed="false" customWidth="true" hidden="false" outlineLevel="0" max="16" min="16" style="0" width="21"/>
  </cols>
  <sheetData>
    <row r="1" customFormat="false" ht="17.35" hidden="false" customHeight="false" outlineLevel="0" collapsed="false">
      <c r="A1" s="1" t="s">
        <v>621</v>
      </c>
    </row>
    <row r="2" customFormat="false" ht="15" hidden="false" customHeight="false" outlineLevel="0" collapsed="false">
      <c r="A2" s="2" t="s">
        <v>533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536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customFormat="false" ht="15" hidden="false" customHeight="false" outlineLevel="0" collapsed="false">
      <c r="A5" s="4" t="s">
        <v>622</v>
      </c>
      <c r="B5" s="4" t="s">
        <v>88</v>
      </c>
      <c r="C5" s="14" t="n">
        <v>6</v>
      </c>
      <c r="D5" s="14" t="n">
        <v>10</v>
      </c>
      <c r="E5" s="15" t="n">
        <v>12</v>
      </c>
      <c r="F5" s="6" t="n">
        <v>20.4</v>
      </c>
      <c r="G5" s="7" t="n">
        <f aca="false">F5*6</f>
        <v>122.4</v>
      </c>
      <c r="H5" s="7" t="n">
        <f aca="false">F5*12</f>
        <v>244.8</v>
      </c>
      <c r="I5" s="6" t="n">
        <v>26.04</v>
      </c>
      <c r="J5" s="7" t="n">
        <v>449.6</v>
      </c>
      <c r="K5" s="7" t="n">
        <v>167.3</v>
      </c>
      <c r="L5" s="7" t="n">
        <v>89.9</v>
      </c>
      <c r="M5" s="7" t="n">
        <v>33.5</v>
      </c>
      <c r="N5" s="6" t="n">
        <v>4.16</v>
      </c>
      <c r="O5" s="6" t="n">
        <v>2.53</v>
      </c>
      <c r="P5" s="8" t="n">
        <v>0.567</v>
      </c>
    </row>
    <row r="6" customFormat="false" ht="15" hidden="false" customHeight="false" outlineLevel="0" collapsed="false">
      <c r="A6" s="9" t="s">
        <v>623</v>
      </c>
      <c r="B6" s="9" t="s">
        <v>95</v>
      </c>
      <c r="C6" s="16" t="n">
        <v>6.5</v>
      </c>
      <c r="D6" s="16" t="n">
        <v>11</v>
      </c>
      <c r="E6" s="17" t="n">
        <v>12</v>
      </c>
      <c r="F6" s="11" t="n">
        <v>26.7</v>
      </c>
      <c r="G6" s="12" t="n">
        <f aca="false">F6*6</f>
        <v>160.2</v>
      </c>
      <c r="H6" s="12" t="n">
        <f aca="false">F6*12</f>
        <v>320.4</v>
      </c>
      <c r="I6" s="11" t="n">
        <v>34.01</v>
      </c>
      <c r="J6" s="12" t="n">
        <v>864.4</v>
      </c>
      <c r="K6" s="12" t="n">
        <v>317.5</v>
      </c>
      <c r="L6" s="12" t="n">
        <v>144.1</v>
      </c>
      <c r="M6" s="12" t="n">
        <v>52.9</v>
      </c>
      <c r="N6" s="11" t="n">
        <v>5.04</v>
      </c>
      <c r="O6" s="11" t="n">
        <v>3.06</v>
      </c>
      <c r="P6" s="13" t="n">
        <v>0.686</v>
      </c>
    </row>
    <row r="7" customFormat="false" ht="15" hidden="false" customHeight="false" outlineLevel="0" collapsed="false">
      <c r="A7" s="4" t="s">
        <v>624</v>
      </c>
      <c r="B7" s="4" t="s">
        <v>101</v>
      </c>
      <c r="C7" s="14" t="n">
        <v>7</v>
      </c>
      <c r="D7" s="14" t="n">
        <v>12</v>
      </c>
      <c r="E7" s="15" t="n">
        <v>12</v>
      </c>
      <c r="F7" s="6" t="n">
        <v>33.7</v>
      </c>
      <c r="G7" s="7" t="n">
        <f aca="false">F7*6</f>
        <v>202.2</v>
      </c>
      <c r="H7" s="7" t="n">
        <f aca="false">F7*12</f>
        <v>404.4</v>
      </c>
      <c r="I7" s="6" t="n">
        <v>42.96</v>
      </c>
      <c r="J7" s="7" t="n">
        <v>1509.3</v>
      </c>
      <c r="K7" s="7" t="n">
        <v>549.7</v>
      </c>
      <c r="L7" s="7" t="n">
        <v>215.6</v>
      </c>
      <c r="M7" s="7" t="n">
        <v>78.5</v>
      </c>
      <c r="N7" s="6" t="n">
        <v>5.93</v>
      </c>
      <c r="O7" s="6" t="n">
        <v>3.58</v>
      </c>
      <c r="P7" s="8" t="n">
        <v>0.805</v>
      </c>
    </row>
    <row r="8" customFormat="false" ht="15" hidden="false" customHeight="false" outlineLevel="0" collapsed="false">
      <c r="A8" s="9" t="s">
        <v>625</v>
      </c>
      <c r="B8" s="9" t="s">
        <v>113</v>
      </c>
      <c r="C8" s="16" t="n">
        <v>8</v>
      </c>
      <c r="D8" s="16" t="n">
        <v>13</v>
      </c>
      <c r="E8" s="17" t="n">
        <v>15</v>
      </c>
      <c r="F8" s="11" t="n">
        <v>42.6</v>
      </c>
      <c r="G8" s="12" t="n">
        <f aca="false">F8*6</f>
        <v>255.6</v>
      </c>
      <c r="H8" s="12" t="n">
        <f aca="false">F8*12</f>
        <v>511.2</v>
      </c>
      <c r="I8" s="11" t="n">
        <v>54.26</v>
      </c>
      <c r="J8" s="12" t="n">
        <v>2492.2</v>
      </c>
      <c r="K8" s="12" t="n">
        <v>889.2</v>
      </c>
      <c r="L8" s="12" t="n">
        <v>311.5</v>
      </c>
      <c r="M8" s="12" t="n">
        <v>111.2</v>
      </c>
      <c r="N8" s="11" t="n">
        <v>6.78</v>
      </c>
      <c r="O8" s="11" t="n">
        <v>4.05</v>
      </c>
      <c r="P8" s="13" t="n">
        <v>0.918</v>
      </c>
    </row>
    <row r="9" customFormat="false" ht="15" hidden="false" customHeight="false" outlineLevel="0" collapsed="false">
      <c r="A9" s="4" t="s">
        <v>626</v>
      </c>
      <c r="B9" s="4" t="s">
        <v>119</v>
      </c>
      <c r="C9" s="14" t="n">
        <v>8.5</v>
      </c>
      <c r="D9" s="14" t="n">
        <v>14</v>
      </c>
      <c r="E9" s="15" t="n">
        <v>15</v>
      </c>
      <c r="F9" s="6" t="n">
        <v>51.2</v>
      </c>
      <c r="G9" s="7" t="n">
        <f aca="false">F9*6</f>
        <v>307.2</v>
      </c>
      <c r="H9" s="7" t="n">
        <f aca="false">F9*12</f>
        <v>614.4</v>
      </c>
      <c r="I9" s="6" t="n">
        <v>65.26</v>
      </c>
      <c r="J9" s="7" t="n">
        <v>3831.4</v>
      </c>
      <c r="K9" s="7" t="n">
        <v>1362.9</v>
      </c>
      <c r="L9" s="7" t="n">
        <v>425.7</v>
      </c>
      <c r="M9" s="7" t="n">
        <v>151.4</v>
      </c>
      <c r="N9" s="6" t="n">
        <v>7.66</v>
      </c>
      <c r="O9" s="6" t="n">
        <v>4.57</v>
      </c>
      <c r="P9" s="8" t="n">
        <v>1.037</v>
      </c>
    </row>
    <row r="10" customFormat="false" ht="15" hidden="false" customHeight="false" outlineLevel="0" collapsed="false">
      <c r="A10" s="9" t="s">
        <v>627</v>
      </c>
      <c r="B10" s="9" t="s">
        <v>125</v>
      </c>
      <c r="C10" s="16" t="n">
        <v>9</v>
      </c>
      <c r="D10" s="16" t="n">
        <v>15</v>
      </c>
      <c r="E10" s="17" t="n">
        <v>18</v>
      </c>
      <c r="F10" s="11" t="n">
        <v>61.3</v>
      </c>
      <c r="G10" s="12" t="n">
        <f aca="false">F10*6</f>
        <v>367.8</v>
      </c>
      <c r="H10" s="12" t="n">
        <f aca="false">F10*12</f>
        <v>735.6</v>
      </c>
      <c r="I10" s="11" t="n">
        <v>78.09</v>
      </c>
      <c r="J10" s="12" t="n">
        <v>5696.6</v>
      </c>
      <c r="K10" s="12" t="n">
        <v>2003.4</v>
      </c>
      <c r="L10" s="12" t="n">
        <v>569.7</v>
      </c>
      <c r="M10" s="12" t="n">
        <v>200.3</v>
      </c>
      <c r="N10" s="11" t="n">
        <v>8.54</v>
      </c>
      <c r="O10" s="11" t="n">
        <v>5.07</v>
      </c>
      <c r="P10" s="13" t="n">
        <v>1.151</v>
      </c>
    </row>
    <row r="11" customFormat="false" ht="15" hidden="false" customHeight="false" outlineLevel="0" collapsed="false">
      <c r="A11" s="4" t="s">
        <v>628</v>
      </c>
      <c r="B11" s="4" t="s">
        <v>131</v>
      </c>
      <c r="C11" s="14" t="n">
        <v>9.5</v>
      </c>
      <c r="D11" s="14" t="n">
        <v>16</v>
      </c>
      <c r="E11" s="15" t="n">
        <v>18</v>
      </c>
      <c r="F11" s="6" t="n">
        <v>71.5</v>
      </c>
      <c r="G11" s="7" t="n">
        <f aca="false">F11*6</f>
        <v>429</v>
      </c>
      <c r="H11" s="7" t="n">
        <f aca="false">F11*12</f>
        <v>858</v>
      </c>
      <c r="I11" s="6" t="n">
        <v>91.05</v>
      </c>
      <c r="J11" s="7" t="n">
        <v>8091.5</v>
      </c>
      <c r="K11" s="7" t="n">
        <v>2843.3</v>
      </c>
      <c r="L11" s="7" t="n">
        <v>735.6</v>
      </c>
      <c r="M11" s="7" t="n">
        <v>258.5</v>
      </c>
      <c r="N11" s="6" t="n">
        <v>9.43</v>
      </c>
      <c r="O11" s="6" t="n">
        <v>5.59</v>
      </c>
      <c r="P11" s="8" t="n">
        <v>1.27</v>
      </c>
    </row>
    <row r="12" customFormat="false" ht="15" hidden="false" customHeight="false" outlineLevel="0" collapsed="false">
      <c r="A12" s="9" t="s">
        <v>629</v>
      </c>
      <c r="B12" s="9" t="s">
        <v>630</v>
      </c>
      <c r="C12" s="16" t="n">
        <v>10</v>
      </c>
      <c r="D12" s="16" t="n">
        <v>17</v>
      </c>
      <c r="E12" s="17" t="n">
        <v>21</v>
      </c>
      <c r="F12" s="11" t="n">
        <v>83.2</v>
      </c>
      <c r="G12" s="12" t="n">
        <f aca="false">F12*6</f>
        <v>499.2</v>
      </c>
      <c r="H12" s="12" t="n">
        <f aca="false">F12*12</f>
        <v>998.4</v>
      </c>
      <c r="I12" s="11" t="n">
        <v>106</v>
      </c>
      <c r="J12" s="12" t="n">
        <v>11260.2</v>
      </c>
      <c r="K12" s="12" t="n">
        <v>3922.7</v>
      </c>
      <c r="L12" s="12" t="n">
        <v>938.4</v>
      </c>
      <c r="M12" s="12" t="n">
        <v>326.9</v>
      </c>
      <c r="N12" s="11" t="n">
        <v>10.31</v>
      </c>
      <c r="O12" s="11" t="n">
        <v>6.08</v>
      </c>
      <c r="P12" s="13" t="n">
        <v>1.384</v>
      </c>
    </row>
    <row r="13" customFormat="false" ht="15" hidden="false" customHeight="false" outlineLevel="0" collapsed="false">
      <c r="A13" s="4" t="s">
        <v>631</v>
      </c>
      <c r="B13" s="4" t="s">
        <v>143</v>
      </c>
      <c r="C13" s="14" t="n">
        <v>10</v>
      </c>
      <c r="D13" s="14" t="n">
        <v>17.5</v>
      </c>
      <c r="E13" s="15" t="n">
        <v>24</v>
      </c>
      <c r="F13" s="6" t="n">
        <v>93</v>
      </c>
      <c r="G13" s="7" t="n">
        <f aca="false">F13*6</f>
        <v>558</v>
      </c>
      <c r="H13" s="7" t="n">
        <f aca="false">F13*12</f>
        <v>1116</v>
      </c>
      <c r="I13" s="6" t="n">
        <v>118.46</v>
      </c>
      <c r="J13" s="7" t="n">
        <v>14920.8</v>
      </c>
      <c r="K13" s="7" t="n">
        <v>5134.5</v>
      </c>
      <c r="L13" s="7" t="n">
        <v>1147.8</v>
      </c>
      <c r="M13" s="7" t="n">
        <v>395</v>
      </c>
      <c r="N13" s="6" t="n">
        <v>11.22</v>
      </c>
      <c r="O13" s="6" t="n">
        <v>6.58</v>
      </c>
      <c r="P13" s="8" t="n">
        <v>1.499</v>
      </c>
    </row>
    <row r="14" customFormat="false" ht="15" hidden="false" customHeight="false" outlineLevel="0" collapsed="false">
      <c r="A14" s="9" t="s">
        <v>632</v>
      </c>
      <c r="B14" s="9" t="s">
        <v>633</v>
      </c>
      <c r="C14" s="16" t="n">
        <v>10.5</v>
      </c>
      <c r="D14" s="16" t="n">
        <v>18</v>
      </c>
      <c r="E14" s="17" t="n">
        <v>24</v>
      </c>
      <c r="F14" s="11" t="n">
        <v>103.1</v>
      </c>
      <c r="G14" s="12" t="n">
        <f aca="false">F14*6</f>
        <v>618.6</v>
      </c>
      <c r="H14" s="12" t="n">
        <f aca="false">F14*12</f>
        <v>1237.2</v>
      </c>
      <c r="I14" s="11" t="n">
        <v>131.38</v>
      </c>
      <c r="J14" s="12" t="n">
        <v>19271.9</v>
      </c>
      <c r="K14" s="12" t="n">
        <v>6594.6</v>
      </c>
      <c r="L14" s="12" t="n">
        <v>1376.6</v>
      </c>
      <c r="M14" s="12" t="n">
        <v>471</v>
      </c>
      <c r="N14" s="11" t="n">
        <v>12.11</v>
      </c>
      <c r="O14" s="11" t="n">
        <v>7.08</v>
      </c>
      <c r="P14" s="13" t="n">
        <v>1.618</v>
      </c>
    </row>
    <row r="15" customFormat="false" ht="15" hidden="false" customHeight="false" outlineLevel="0" collapsed="false">
      <c r="A15" s="4" t="s">
        <v>634</v>
      </c>
      <c r="B15" s="4" t="s">
        <v>149</v>
      </c>
      <c r="C15" s="14" t="n">
        <v>11</v>
      </c>
      <c r="D15" s="14" t="n">
        <v>19</v>
      </c>
      <c r="E15" s="15" t="n">
        <v>27</v>
      </c>
      <c r="F15" s="6" t="n">
        <v>117</v>
      </c>
      <c r="G15" s="7" t="n">
        <f aca="false">F15*6</f>
        <v>702</v>
      </c>
      <c r="H15" s="7" t="n">
        <f aca="false">F15*12</f>
        <v>1404</v>
      </c>
      <c r="I15" s="6" t="n">
        <v>149.09</v>
      </c>
      <c r="J15" s="7" t="n">
        <v>25168.1</v>
      </c>
      <c r="K15" s="7" t="n">
        <v>8562.9</v>
      </c>
      <c r="L15" s="7" t="n">
        <v>1677.9</v>
      </c>
      <c r="M15" s="7" t="n">
        <v>570.9</v>
      </c>
      <c r="N15" s="6" t="n">
        <v>12.99</v>
      </c>
      <c r="O15" s="6" t="n">
        <v>7.58</v>
      </c>
      <c r="P15" s="8" t="n">
        <v>1.732</v>
      </c>
    </row>
    <row r="16" customFormat="false" ht="15" hidden="false" customHeight="false" outlineLevel="0" collapsed="false">
      <c r="A16" s="9" t="s">
        <v>635</v>
      </c>
      <c r="B16" s="9" t="s">
        <v>636</v>
      </c>
      <c r="C16" s="16" t="n">
        <v>11.5</v>
      </c>
      <c r="D16" s="16" t="n">
        <v>20.5</v>
      </c>
      <c r="E16" s="17" t="n">
        <v>27</v>
      </c>
      <c r="F16" s="11" t="n">
        <v>126.7</v>
      </c>
      <c r="G16" s="12" t="n">
        <f aca="false">F16*6</f>
        <v>760.2</v>
      </c>
      <c r="H16" s="12" t="n">
        <f aca="false">F16*12</f>
        <v>1520.4</v>
      </c>
      <c r="I16" s="11" t="n">
        <v>161.36</v>
      </c>
      <c r="J16" s="12" t="n">
        <v>30826.3</v>
      </c>
      <c r="K16" s="12" t="n">
        <v>9238.9</v>
      </c>
      <c r="L16" s="12" t="n">
        <v>1926.6</v>
      </c>
      <c r="M16" s="12" t="n">
        <v>615.9</v>
      </c>
      <c r="N16" s="11" t="n">
        <v>13.82</v>
      </c>
      <c r="O16" s="11" t="n">
        <v>7.57</v>
      </c>
      <c r="P16" s="13" t="n">
        <v>1.771</v>
      </c>
    </row>
    <row r="17" customFormat="false" ht="15" hidden="false" customHeight="false" outlineLevel="0" collapsed="false">
      <c r="A17" s="4" t="s">
        <v>637</v>
      </c>
      <c r="B17" s="4" t="s">
        <v>638</v>
      </c>
      <c r="C17" s="14" t="n">
        <v>12</v>
      </c>
      <c r="D17" s="14" t="n">
        <v>21.5</v>
      </c>
      <c r="E17" s="15" t="n">
        <v>27</v>
      </c>
      <c r="F17" s="6" t="n">
        <v>134.2</v>
      </c>
      <c r="G17" s="7" t="n">
        <f aca="false">F17*6</f>
        <v>805.2</v>
      </c>
      <c r="H17" s="7" t="n">
        <f aca="false">F17*12</f>
        <v>1610.4</v>
      </c>
      <c r="I17" s="6" t="n">
        <v>170.91</v>
      </c>
      <c r="J17" s="7" t="n">
        <v>36659.6</v>
      </c>
      <c r="K17" s="7" t="n">
        <v>9690</v>
      </c>
      <c r="L17" s="7" t="n">
        <v>2156.4</v>
      </c>
      <c r="M17" s="7" t="n">
        <v>646</v>
      </c>
      <c r="N17" s="6" t="n">
        <v>14.65</v>
      </c>
      <c r="O17" s="6" t="n">
        <v>7.53</v>
      </c>
      <c r="P17" s="8" t="n">
        <v>1.81</v>
      </c>
    </row>
    <row r="18" customFormat="false" ht="15" hidden="false" customHeight="false" outlineLevel="0" collapsed="false">
      <c r="A18" s="9" t="s">
        <v>639</v>
      </c>
      <c r="B18" s="9" t="s">
        <v>640</v>
      </c>
      <c r="C18" s="16" t="n">
        <v>12.5</v>
      </c>
      <c r="D18" s="16" t="n">
        <v>22.5</v>
      </c>
      <c r="E18" s="17" t="n">
        <v>27</v>
      </c>
      <c r="F18" s="11" t="n">
        <v>141.8</v>
      </c>
      <c r="G18" s="12" t="n">
        <f aca="false">F18*6</f>
        <v>850.8</v>
      </c>
      <c r="H18" s="12" t="n">
        <f aca="false">F18*12</f>
        <v>1701.6</v>
      </c>
      <c r="I18" s="11" t="n">
        <v>180.65</v>
      </c>
      <c r="J18" s="12" t="n">
        <v>43197</v>
      </c>
      <c r="K18" s="12" t="n">
        <v>10141.2</v>
      </c>
      <c r="L18" s="12" t="n">
        <v>2399.8</v>
      </c>
      <c r="M18" s="12" t="n">
        <v>676.1</v>
      </c>
      <c r="N18" s="11" t="n">
        <v>15.46</v>
      </c>
      <c r="O18" s="11" t="n">
        <v>7.49</v>
      </c>
      <c r="P18" s="13" t="n">
        <v>1.849</v>
      </c>
    </row>
    <row r="19" customFormat="false" ht="15" hidden="false" customHeight="false" outlineLevel="0" collapsed="false">
      <c r="A19" s="4" t="s">
        <v>641</v>
      </c>
      <c r="B19" s="4" t="s">
        <v>642</v>
      </c>
      <c r="C19" s="14" t="n">
        <v>13.5</v>
      </c>
      <c r="D19" s="14" t="n">
        <v>24</v>
      </c>
      <c r="E19" s="15" t="n">
        <v>27</v>
      </c>
      <c r="F19" s="6" t="n">
        <v>155.3</v>
      </c>
      <c r="G19" s="7" t="n">
        <f aca="false">F19*6</f>
        <v>931.8</v>
      </c>
      <c r="H19" s="7" t="n">
        <f aca="false">F19*12</f>
        <v>1863.6</v>
      </c>
      <c r="I19" s="6" t="n">
        <v>197.79</v>
      </c>
      <c r="J19" s="7" t="n">
        <v>57685.1</v>
      </c>
      <c r="K19" s="7" t="n">
        <v>10819.1</v>
      </c>
      <c r="L19" s="7" t="n">
        <v>2884.3</v>
      </c>
      <c r="M19" s="7" t="n">
        <v>721.3</v>
      </c>
      <c r="N19" s="6" t="n">
        <v>17.08</v>
      </c>
      <c r="O19" s="6" t="n">
        <v>7.4</v>
      </c>
      <c r="P19" s="8" t="n">
        <v>1.927</v>
      </c>
    </row>
    <row r="20" customFormat="false" ht="15" hidden="false" customHeight="false" outlineLevel="0" collapsed="false">
      <c r="A20" s="9" t="s">
        <v>643</v>
      </c>
      <c r="B20" s="9" t="s">
        <v>644</v>
      </c>
      <c r="C20" s="16" t="n">
        <v>14</v>
      </c>
      <c r="D20" s="16" t="n">
        <v>26</v>
      </c>
      <c r="E20" s="17" t="n">
        <v>27</v>
      </c>
      <c r="F20" s="11" t="n">
        <v>171.1</v>
      </c>
      <c r="G20" s="12" t="n">
        <f aca="false">F20*6</f>
        <v>1026.6</v>
      </c>
      <c r="H20" s="12" t="n">
        <f aca="false">F20*12</f>
        <v>2053.2</v>
      </c>
      <c r="I20" s="11" t="n">
        <v>217.99</v>
      </c>
      <c r="J20" s="12" t="n">
        <v>79893.4</v>
      </c>
      <c r="K20" s="12" t="n">
        <v>11721.4</v>
      </c>
      <c r="L20" s="12" t="n">
        <v>3550.8</v>
      </c>
      <c r="M20" s="12" t="n">
        <v>781.4</v>
      </c>
      <c r="N20" s="11" t="n">
        <v>19.14</v>
      </c>
      <c r="O20" s="11" t="n">
        <v>7.33</v>
      </c>
      <c r="P20" s="13" t="n">
        <v>2.026</v>
      </c>
    </row>
    <row r="21" customFormat="false" ht="15" hidden="false" customHeight="false" outlineLevel="0" collapsed="false">
      <c r="A21" s="4" t="s">
        <v>645</v>
      </c>
      <c r="B21" s="4" t="s">
        <v>646</v>
      </c>
      <c r="C21" s="14" t="n">
        <v>14.5</v>
      </c>
      <c r="D21" s="14" t="n">
        <v>28</v>
      </c>
      <c r="E21" s="15" t="n">
        <v>27</v>
      </c>
      <c r="F21" s="6" t="n">
        <v>187.3</v>
      </c>
      <c r="G21" s="7" t="n">
        <f aca="false">F21*6</f>
        <v>1123.8</v>
      </c>
      <c r="H21" s="7" t="n">
        <f aca="false">F21*12</f>
        <v>2247.6</v>
      </c>
      <c r="I21" s="6" t="n">
        <v>238.65</v>
      </c>
      <c r="J21" s="7" t="n">
        <v>107183.2</v>
      </c>
      <c r="K21" s="7" t="n">
        <v>12624</v>
      </c>
      <c r="L21" s="7" t="n">
        <v>4287.3</v>
      </c>
      <c r="M21" s="7" t="n">
        <v>841.6</v>
      </c>
      <c r="N21" s="6" t="n">
        <v>21.19</v>
      </c>
      <c r="O21" s="6" t="n">
        <v>7.27</v>
      </c>
      <c r="P21" s="8" t="n">
        <v>2.125</v>
      </c>
    </row>
    <row r="22" customFormat="false" ht="15" hidden="false" customHeight="false" outlineLevel="0" collapsed="false">
      <c r="A22" s="9" t="s">
        <v>647</v>
      </c>
      <c r="B22" s="9" t="s">
        <v>648</v>
      </c>
      <c r="C22" s="16" t="n">
        <v>15</v>
      </c>
      <c r="D22" s="16" t="n">
        <v>29</v>
      </c>
      <c r="E22" s="17" t="n">
        <v>27</v>
      </c>
      <c r="F22" s="11" t="n">
        <v>199.4</v>
      </c>
      <c r="G22" s="12" t="n">
        <f aca="false">F22*6</f>
        <v>1196.4</v>
      </c>
      <c r="H22" s="12" t="n">
        <f aca="false">F22*12</f>
        <v>2392.8</v>
      </c>
      <c r="I22" s="11" t="n">
        <v>254.07</v>
      </c>
      <c r="J22" s="12" t="n">
        <v>136700</v>
      </c>
      <c r="K22" s="12" t="n">
        <v>13077</v>
      </c>
      <c r="L22" s="12" t="n">
        <v>4970.9</v>
      </c>
      <c r="M22" s="12" t="n">
        <v>871.8</v>
      </c>
      <c r="N22" s="11" t="n">
        <v>23.2</v>
      </c>
      <c r="O22" s="11" t="n">
        <v>7.17</v>
      </c>
      <c r="P22" s="13" t="n">
        <v>2.224</v>
      </c>
    </row>
    <row r="23" customFormat="false" ht="15" hidden="false" customHeight="false" outlineLevel="0" collapsed="false">
      <c r="A23" s="4" t="s">
        <v>649</v>
      </c>
      <c r="B23" s="4" t="s">
        <v>650</v>
      </c>
      <c r="C23" s="14" t="n">
        <v>15.5</v>
      </c>
      <c r="D23" s="14" t="n">
        <v>30</v>
      </c>
      <c r="E23" s="15" t="n">
        <v>27</v>
      </c>
      <c r="F23" s="6" t="n">
        <v>211.9</v>
      </c>
      <c r="G23" s="7" t="n">
        <f aca="false">F23*6</f>
        <v>1271.4</v>
      </c>
      <c r="H23" s="7" t="n">
        <f aca="false">F23*12</f>
        <v>2542.8</v>
      </c>
      <c r="I23" s="6" t="n">
        <v>269.97</v>
      </c>
      <c r="J23" s="7" t="n">
        <v>171052.2</v>
      </c>
      <c r="K23" s="7" t="n">
        <v>13530.3</v>
      </c>
      <c r="L23" s="7" t="n">
        <v>5701.7</v>
      </c>
      <c r="M23" s="7" t="n">
        <v>902</v>
      </c>
      <c r="N23" s="6" t="n">
        <v>25.17</v>
      </c>
      <c r="O23" s="6" t="n">
        <v>7.08</v>
      </c>
      <c r="P23" s="8" t="n">
        <v>2.323</v>
      </c>
    </row>
    <row r="24" customFormat="false" ht="15" hidden="false" customHeight="false" outlineLevel="0" collapsed="false">
      <c r="A24" s="9" t="s">
        <v>651</v>
      </c>
      <c r="B24" s="9" t="s">
        <v>652</v>
      </c>
      <c r="C24" s="16" t="n">
        <v>16</v>
      </c>
      <c r="D24" s="16" t="n">
        <v>31</v>
      </c>
      <c r="E24" s="17" t="n">
        <v>27</v>
      </c>
      <c r="F24" s="11" t="n">
        <v>224.8</v>
      </c>
      <c r="G24" s="12" t="n">
        <f aca="false">F24*6</f>
        <v>1348.8</v>
      </c>
      <c r="H24" s="12" t="n">
        <f aca="false">F24*12</f>
        <v>2697.6</v>
      </c>
      <c r="I24" s="11" t="n">
        <v>286.35</v>
      </c>
      <c r="J24" s="12" t="n">
        <v>210629.3</v>
      </c>
      <c r="K24" s="12" t="n">
        <v>13984.1</v>
      </c>
      <c r="L24" s="12" t="n">
        <v>6480.9</v>
      </c>
      <c r="M24" s="12" t="n">
        <v>932.3</v>
      </c>
      <c r="N24" s="11" t="n">
        <v>27.12</v>
      </c>
      <c r="O24" s="11" t="n">
        <v>6.99</v>
      </c>
      <c r="P24" s="13" t="n">
        <v>2.422</v>
      </c>
    </row>
    <row r="25" customFormat="false" ht="15" hidden="false" customHeight="false" outlineLevel="0" collapsed="false">
      <c r="A25" s="4" t="s">
        <v>653</v>
      </c>
      <c r="B25" s="4" t="s">
        <v>654</v>
      </c>
      <c r="C25" s="14" t="n">
        <v>17</v>
      </c>
      <c r="D25" s="14" t="n">
        <v>32</v>
      </c>
      <c r="E25" s="15" t="n">
        <v>27</v>
      </c>
      <c r="F25" s="6" t="n">
        <v>240.5</v>
      </c>
      <c r="G25" s="7" t="n">
        <f aca="false">F25*6</f>
        <v>1443</v>
      </c>
      <c r="H25" s="7" t="n">
        <f aca="false">F25*12</f>
        <v>2886</v>
      </c>
      <c r="I25" s="6" t="n">
        <v>306.39</v>
      </c>
      <c r="J25" s="7" t="n">
        <v>256904</v>
      </c>
      <c r="K25" s="7" t="n">
        <v>14440.9</v>
      </c>
      <c r="L25" s="7" t="n">
        <v>7340.1</v>
      </c>
      <c r="M25" s="7" t="n">
        <v>962.7</v>
      </c>
      <c r="N25" s="6" t="n">
        <v>28.96</v>
      </c>
      <c r="O25" s="6" t="n">
        <v>6.87</v>
      </c>
      <c r="P25" s="8" t="n">
        <v>2.52</v>
      </c>
    </row>
    <row r="26" customFormat="false" ht="15" hidden="false" customHeight="false" outlineLevel="0" collapsed="false">
      <c r="A26" s="9" t="s">
        <v>655</v>
      </c>
      <c r="B26" s="9" t="s">
        <v>656</v>
      </c>
      <c r="C26" s="16" t="n">
        <v>17.5</v>
      </c>
      <c r="D26" s="16" t="n">
        <v>33</v>
      </c>
      <c r="E26" s="17" t="n">
        <v>30</v>
      </c>
      <c r="F26" s="11" t="n">
        <v>262.3</v>
      </c>
      <c r="G26" s="12" t="n">
        <f aca="false">F26*6</f>
        <v>1573.8</v>
      </c>
      <c r="H26" s="12" t="n">
        <f aca="false">F26*12</f>
        <v>3147.6</v>
      </c>
      <c r="I26" s="11" t="n">
        <v>334.2</v>
      </c>
      <c r="J26" s="12" t="n">
        <v>359109.2</v>
      </c>
      <c r="K26" s="12" t="n">
        <v>14903.8</v>
      </c>
      <c r="L26" s="12" t="n">
        <v>8977.7</v>
      </c>
      <c r="M26" s="12" t="n">
        <v>993.6</v>
      </c>
      <c r="N26" s="11" t="n">
        <v>32.78</v>
      </c>
      <c r="O26" s="11" t="n">
        <v>6.68</v>
      </c>
      <c r="P26" s="13" t="n">
        <v>2.713</v>
      </c>
    </row>
    <row r="27" customFormat="false" ht="15" hidden="false" customHeight="false" outlineLevel="0" collapsed="false">
      <c r="A27" s="4" t="s">
        <v>657</v>
      </c>
      <c r="B27" s="4" t="s">
        <v>658</v>
      </c>
      <c r="C27" s="14" t="n">
        <v>18.5</v>
      </c>
      <c r="D27" s="14" t="n">
        <v>35</v>
      </c>
      <c r="E27" s="15" t="n">
        <v>30</v>
      </c>
      <c r="F27" s="6" t="n">
        <v>291.5</v>
      </c>
      <c r="G27" s="7" t="n">
        <f aca="false">F27*6</f>
        <v>1749</v>
      </c>
      <c r="H27" s="7" t="n">
        <f aca="false">F27*12</f>
        <v>3498</v>
      </c>
      <c r="I27" s="6" t="n">
        <v>371.3</v>
      </c>
      <c r="J27" s="7" t="n">
        <v>494097.7</v>
      </c>
      <c r="K27" s="7" t="n">
        <v>15816</v>
      </c>
      <c r="L27" s="7" t="n">
        <v>10979.9</v>
      </c>
      <c r="M27" s="7" t="n">
        <v>1054.4</v>
      </c>
      <c r="N27" s="6" t="n">
        <v>36.48</v>
      </c>
      <c r="O27" s="6" t="n">
        <v>6.53</v>
      </c>
      <c r="P27" s="8" t="n">
        <v>2.911</v>
      </c>
    </row>
    <row r="28" customFormat="false" ht="15" hidden="false" customHeight="false" outlineLevel="0" collapsed="false">
      <c r="A28" s="9" t="s">
        <v>659</v>
      </c>
      <c r="B28" s="9" t="s">
        <v>660</v>
      </c>
      <c r="C28" s="16" t="n">
        <v>19</v>
      </c>
      <c r="D28" s="16" t="n">
        <v>36</v>
      </c>
      <c r="E28" s="17" t="n">
        <v>30</v>
      </c>
      <c r="F28" s="11" t="n">
        <v>314.1</v>
      </c>
      <c r="G28" s="12" t="n">
        <f aca="false">F28*6</f>
        <v>1884.6</v>
      </c>
      <c r="H28" s="12" t="n">
        <f aca="false">F28*12</f>
        <v>3769.2</v>
      </c>
      <c r="I28" s="11" t="n">
        <v>400.07</v>
      </c>
      <c r="J28" s="12" t="n">
        <v>644789.7</v>
      </c>
      <c r="K28" s="12" t="n">
        <v>16275.9</v>
      </c>
      <c r="L28" s="12" t="n">
        <v>12895.8</v>
      </c>
      <c r="M28" s="12" t="n">
        <v>1085.1</v>
      </c>
      <c r="N28" s="11" t="n">
        <v>40.15</v>
      </c>
      <c r="O28" s="11" t="n">
        <v>6.38</v>
      </c>
      <c r="P28" s="13" t="n">
        <v>3.11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3" min="10" style="0" width="11"/>
    <col collapsed="false" customWidth="true" hidden="false" outlineLevel="0" max="15" min="14" style="0" width="10"/>
    <col collapsed="false" customWidth="true" hidden="false" outlineLevel="0" max="16" min="16" style="0" width="21"/>
  </cols>
  <sheetData>
    <row r="1" customFormat="false" ht="17.35" hidden="false" customHeight="false" outlineLevel="0" collapsed="false">
      <c r="A1" s="1" t="s">
        <v>661</v>
      </c>
    </row>
    <row r="2" customFormat="false" ht="15" hidden="false" customHeight="false" outlineLevel="0" collapsed="false">
      <c r="A2" s="2" t="s">
        <v>533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536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customFormat="false" ht="15" hidden="false" customHeight="false" outlineLevel="0" collapsed="false">
      <c r="A5" s="4" t="s">
        <v>662</v>
      </c>
      <c r="B5" s="4" t="s">
        <v>663</v>
      </c>
      <c r="C5" s="14" t="n">
        <v>12</v>
      </c>
      <c r="D5" s="14" t="n">
        <v>20</v>
      </c>
      <c r="E5" s="15" t="n">
        <v>12</v>
      </c>
      <c r="F5" s="6" t="n">
        <v>41.8</v>
      </c>
      <c r="G5" s="7" t="n">
        <f aca="false">F5*6</f>
        <v>250.8</v>
      </c>
      <c r="H5" s="7" t="n">
        <f aca="false">F5*12</f>
        <v>501.6</v>
      </c>
      <c r="I5" s="6" t="n">
        <v>53.24</v>
      </c>
      <c r="J5" s="7" t="n">
        <v>1142.7</v>
      </c>
      <c r="K5" s="7" t="n">
        <v>399.2</v>
      </c>
      <c r="L5" s="7" t="n">
        <v>190.4</v>
      </c>
      <c r="M5" s="7" t="n">
        <v>75.3</v>
      </c>
      <c r="N5" s="6" t="n">
        <v>4.63</v>
      </c>
      <c r="O5" s="6" t="n">
        <v>2.74</v>
      </c>
      <c r="P5" s="8" t="n">
        <v>0.619</v>
      </c>
    </row>
    <row r="6" customFormat="false" ht="15" hidden="false" customHeight="false" outlineLevel="0" collapsed="false">
      <c r="A6" s="9" t="s">
        <v>664</v>
      </c>
      <c r="B6" s="9" t="s">
        <v>665</v>
      </c>
      <c r="C6" s="16" t="n">
        <v>12.5</v>
      </c>
      <c r="D6" s="16" t="n">
        <v>21</v>
      </c>
      <c r="E6" s="17" t="n">
        <v>12</v>
      </c>
      <c r="F6" s="11" t="n">
        <v>52.1</v>
      </c>
      <c r="G6" s="12" t="n">
        <f aca="false">F6*6</f>
        <v>312.6</v>
      </c>
      <c r="H6" s="12" t="n">
        <f aca="false">F6*12</f>
        <v>625.2</v>
      </c>
      <c r="I6" s="11" t="n">
        <v>66.41</v>
      </c>
      <c r="J6" s="12" t="n">
        <v>2017.6</v>
      </c>
      <c r="K6" s="12" t="n">
        <v>702.8</v>
      </c>
      <c r="L6" s="12" t="n">
        <v>288.2</v>
      </c>
      <c r="M6" s="12" t="n">
        <v>111.6</v>
      </c>
      <c r="N6" s="11" t="n">
        <v>5.51</v>
      </c>
      <c r="O6" s="11" t="n">
        <v>3.25</v>
      </c>
      <c r="P6" s="13" t="n">
        <v>0.738</v>
      </c>
    </row>
    <row r="7" customFormat="false" ht="15" hidden="false" customHeight="false" outlineLevel="0" collapsed="false">
      <c r="A7" s="4" t="s">
        <v>666</v>
      </c>
      <c r="B7" s="4" t="s">
        <v>667</v>
      </c>
      <c r="C7" s="14" t="n">
        <v>13</v>
      </c>
      <c r="D7" s="14" t="n">
        <v>22</v>
      </c>
      <c r="E7" s="15" t="n">
        <v>12</v>
      </c>
      <c r="F7" s="6" t="n">
        <v>63.2</v>
      </c>
      <c r="G7" s="7" t="n">
        <f aca="false">F7*6</f>
        <v>379.2</v>
      </c>
      <c r="H7" s="7" t="n">
        <f aca="false">F7*12</f>
        <v>758.4</v>
      </c>
      <c r="I7" s="6" t="n">
        <v>80.56</v>
      </c>
      <c r="J7" s="7" t="n">
        <v>3291.5</v>
      </c>
      <c r="K7" s="7" t="n">
        <v>1144.3</v>
      </c>
      <c r="L7" s="7" t="n">
        <v>411.4</v>
      </c>
      <c r="M7" s="7" t="n">
        <v>156.8</v>
      </c>
      <c r="N7" s="6" t="n">
        <v>6.39</v>
      </c>
      <c r="O7" s="6" t="n">
        <v>3.77</v>
      </c>
      <c r="P7" s="8" t="n">
        <v>0.857</v>
      </c>
    </row>
    <row r="8" customFormat="false" ht="15" hidden="false" customHeight="false" outlineLevel="0" collapsed="false">
      <c r="A8" s="9" t="s">
        <v>668</v>
      </c>
      <c r="B8" s="9" t="s">
        <v>669</v>
      </c>
      <c r="C8" s="16" t="n">
        <v>14</v>
      </c>
      <c r="D8" s="16" t="n">
        <v>23</v>
      </c>
      <c r="E8" s="17" t="n">
        <v>15</v>
      </c>
      <c r="F8" s="11" t="n">
        <v>76.2</v>
      </c>
      <c r="G8" s="12" t="n">
        <f aca="false">F8*6</f>
        <v>457.2</v>
      </c>
      <c r="H8" s="12" t="n">
        <f aca="false">F8*12</f>
        <v>914.4</v>
      </c>
      <c r="I8" s="11" t="n">
        <v>97.06</v>
      </c>
      <c r="J8" s="12" t="n">
        <v>5098.5</v>
      </c>
      <c r="K8" s="12" t="n">
        <v>1758.8</v>
      </c>
      <c r="L8" s="12" t="n">
        <v>566.5</v>
      </c>
      <c r="M8" s="12" t="n">
        <v>211.9</v>
      </c>
      <c r="N8" s="11" t="n">
        <v>7.25</v>
      </c>
      <c r="O8" s="11" t="n">
        <v>4.26</v>
      </c>
      <c r="P8" s="13" t="n">
        <v>0.97</v>
      </c>
    </row>
    <row r="9" customFormat="false" ht="15" hidden="false" customHeight="false" outlineLevel="0" collapsed="false">
      <c r="A9" s="4" t="s">
        <v>670</v>
      </c>
      <c r="B9" s="4" t="s">
        <v>671</v>
      </c>
      <c r="C9" s="14" t="n">
        <v>14.5</v>
      </c>
      <c r="D9" s="14" t="n">
        <v>24</v>
      </c>
      <c r="E9" s="15" t="n">
        <v>15</v>
      </c>
      <c r="F9" s="6" t="n">
        <v>88.9</v>
      </c>
      <c r="G9" s="7" t="n">
        <f aca="false">F9*6</f>
        <v>533.4</v>
      </c>
      <c r="H9" s="7" t="n">
        <f aca="false">F9*12</f>
        <v>1066.8</v>
      </c>
      <c r="I9" s="6" t="n">
        <v>113.26</v>
      </c>
      <c r="J9" s="7" t="n">
        <v>7483.4</v>
      </c>
      <c r="K9" s="7" t="n">
        <v>2580.1</v>
      </c>
      <c r="L9" s="7" t="n">
        <v>748.3</v>
      </c>
      <c r="M9" s="7" t="n">
        <v>277.4</v>
      </c>
      <c r="N9" s="6" t="n">
        <v>8.13</v>
      </c>
      <c r="O9" s="6" t="n">
        <v>4.77</v>
      </c>
      <c r="P9" s="8" t="n">
        <v>1.089</v>
      </c>
    </row>
    <row r="10" customFormat="false" ht="15" hidden="false" customHeight="false" outlineLevel="0" collapsed="false">
      <c r="A10" s="9" t="s">
        <v>672</v>
      </c>
      <c r="B10" s="9" t="s">
        <v>673</v>
      </c>
      <c r="C10" s="16" t="n">
        <v>15</v>
      </c>
      <c r="D10" s="16" t="n">
        <v>25</v>
      </c>
      <c r="E10" s="17" t="n">
        <v>18</v>
      </c>
      <c r="F10" s="11" t="n">
        <v>103.1</v>
      </c>
      <c r="G10" s="12" t="n">
        <f aca="false">F10*6</f>
        <v>618.6</v>
      </c>
      <c r="H10" s="12" t="n">
        <f aca="false">F10*12</f>
        <v>1237.2</v>
      </c>
      <c r="I10" s="11" t="n">
        <v>131.29</v>
      </c>
      <c r="J10" s="12" t="n">
        <v>10642.4</v>
      </c>
      <c r="K10" s="12" t="n">
        <v>3651.2</v>
      </c>
      <c r="L10" s="12" t="n">
        <v>967.5</v>
      </c>
      <c r="M10" s="12" t="n">
        <v>354.5</v>
      </c>
      <c r="N10" s="11" t="n">
        <v>9</v>
      </c>
      <c r="O10" s="11" t="n">
        <v>5.27</v>
      </c>
      <c r="P10" s="13" t="n">
        <v>1.203</v>
      </c>
    </row>
    <row r="11" customFormat="false" ht="15" hidden="false" customHeight="false" outlineLevel="0" collapsed="false">
      <c r="A11" s="4" t="s">
        <v>674</v>
      </c>
      <c r="B11" s="4" t="s">
        <v>675</v>
      </c>
      <c r="C11" s="14" t="n">
        <v>15.5</v>
      </c>
      <c r="D11" s="14" t="n">
        <v>26</v>
      </c>
      <c r="E11" s="15" t="n">
        <v>18</v>
      </c>
      <c r="F11" s="6" t="n">
        <v>117.3</v>
      </c>
      <c r="G11" s="7" t="n">
        <f aca="false">F11*6</f>
        <v>703.8</v>
      </c>
      <c r="H11" s="7" t="n">
        <f aca="false">F11*12</f>
        <v>1407.6</v>
      </c>
      <c r="I11" s="6" t="n">
        <v>149.45</v>
      </c>
      <c r="J11" s="7" t="n">
        <v>14605.4</v>
      </c>
      <c r="K11" s="7" t="n">
        <v>5012.1</v>
      </c>
      <c r="L11" s="7" t="n">
        <v>1217.1</v>
      </c>
      <c r="M11" s="7" t="n">
        <v>443.5</v>
      </c>
      <c r="N11" s="6" t="n">
        <v>9.89</v>
      </c>
      <c r="O11" s="6" t="n">
        <v>5.79</v>
      </c>
      <c r="P11" s="8" t="n">
        <v>1.322</v>
      </c>
    </row>
    <row r="12" customFormat="false" ht="15" hidden="false" customHeight="false" outlineLevel="0" collapsed="false">
      <c r="A12" s="9" t="s">
        <v>676</v>
      </c>
      <c r="B12" s="9" t="s">
        <v>677</v>
      </c>
      <c r="C12" s="16" t="n">
        <v>18</v>
      </c>
      <c r="D12" s="16" t="n">
        <v>32</v>
      </c>
      <c r="E12" s="17" t="n">
        <v>21</v>
      </c>
      <c r="F12" s="11" t="n">
        <v>156.7</v>
      </c>
      <c r="G12" s="12" t="n">
        <f aca="false">F12*6</f>
        <v>940.2</v>
      </c>
      <c r="H12" s="12" t="n">
        <f aca="false">F12*12</f>
        <v>1880.4</v>
      </c>
      <c r="I12" s="11" t="n">
        <v>199.6</v>
      </c>
      <c r="J12" s="12" t="n">
        <v>24290.4</v>
      </c>
      <c r="K12" s="12" t="n">
        <v>8152.7</v>
      </c>
      <c r="L12" s="12" t="n">
        <v>1799.3</v>
      </c>
      <c r="M12" s="12" t="n">
        <v>657.5</v>
      </c>
      <c r="N12" s="11" t="n">
        <v>11.03</v>
      </c>
      <c r="O12" s="11" t="n">
        <v>6.39</v>
      </c>
      <c r="P12" s="13" t="n">
        <v>1.46</v>
      </c>
    </row>
    <row r="13" customFormat="false" ht="15" hidden="false" customHeight="false" outlineLevel="0" collapsed="false">
      <c r="A13" s="4" t="s">
        <v>678</v>
      </c>
      <c r="B13" s="4" t="s">
        <v>679</v>
      </c>
      <c r="C13" s="14" t="n">
        <v>18</v>
      </c>
      <c r="D13" s="14" t="n">
        <v>32.5</v>
      </c>
      <c r="E13" s="15" t="n">
        <v>24</v>
      </c>
      <c r="F13" s="6" t="n">
        <v>172.4</v>
      </c>
      <c r="G13" s="7" t="n">
        <f aca="false">F13*6</f>
        <v>1034.4</v>
      </c>
      <c r="H13" s="7" t="n">
        <f aca="false">F13*12</f>
        <v>2068.8</v>
      </c>
      <c r="I13" s="6" t="n">
        <v>219.66</v>
      </c>
      <c r="J13" s="7" t="n">
        <v>31308.3</v>
      </c>
      <c r="K13" s="7" t="n">
        <v>10448.6</v>
      </c>
      <c r="L13" s="7" t="n">
        <v>2159.2</v>
      </c>
      <c r="M13" s="7" t="n">
        <v>779.7</v>
      </c>
      <c r="N13" s="6" t="n">
        <v>11.94</v>
      </c>
      <c r="O13" s="6" t="n">
        <v>6.9</v>
      </c>
      <c r="P13" s="8" t="n">
        <v>1.575</v>
      </c>
    </row>
    <row r="14" customFormat="false" ht="15" hidden="false" customHeight="false" outlineLevel="0" collapsed="false">
      <c r="A14" s="9" t="s">
        <v>680</v>
      </c>
      <c r="B14" s="9" t="s">
        <v>681</v>
      </c>
      <c r="C14" s="16" t="n">
        <v>18.5</v>
      </c>
      <c r="D14" s="16" t="n">
        <v>33</v>
      </c>
      <c r="E14" s="17" t="n">
        <v>24</v>
      </c>
      <c r="F14" s="11" t="n">
        <v>188.5</v>
      </c>
      <c r="G14" s="12" t="n">
        <f aca="false">F14*6</f>
        <v>1131</v>
      </c>
      <c r="H14" s="12" t="n">
        <f aca="false">F14*12</f>
        <v>2262</v>
      </c>
      <c r="I14" s="11" t="n">
        <v>240.18</v>
      </c>
      <c r="J14" s="12" t="n">
        <v>39549</v>
      </c>
      <c r="K14" s="12" t="n">
        <v>13162.8</v>
      </c>
      <c r="L14" s="12" t="n">
        <v>2551.5</v>
      </c>
      <c r="M14" s="12" t="n">
        <v>914.1</v>
      </c>
      <c r="N14" s="11" t="n">
        <v>12.83</v>
      </c>
      <c r="O14" s="11" t="n">
        <v>7.4</v>
      </c>
      <c r="P14" s="13" t="n">
        <v>1.694</v>
      </c>
    </row>
    <row r="15" customFormat="false" ht="15" hidden="false" customHeight="false" outlineLevel="0" collapsed="false">
      <c r="A15" s="4" t="s">
        <v>682</v>
      </c>
      <c r="B15" s="4" t="s">
        <v>683</v>
      </c>
      <c r="C15" s="14" t="n">
        <v>21</v>
      </c>
      <c r="D15" s="14" t="n">
        <v>39</v>
      </c>
      <c r="E15" s="15" t="n">
        <v>27</v>
      </c>
      <c r="F15" s="6" t="n">
        <v>237.9</v>
      </c>
      <c r="G15" s="7" t="n">
        <f aca="false">F15*6</f>
        <v>1427.4</v>
      </c>
      <c r="H15" s="7" t="n">
        <f aca="false">F15*12</f>
        <v>2854.8</v>
      </c>
      <c r="I15" s="6" t="n">
        <v>303.09</v>
      </c>
      <c r="J15" s="7" t="n">
        <v>59203.4</v>
      </c>
      <c r="K15" s="7" t="n">
        <v>19403.2</v>
      </c>
      <c r="L15" s="7" t="n">
        <v>3482.6</v>
      </c>
      <c r="M15" s="7" t="n">
        <v>1251.8</v>
      </c>
      <c r="N15" s="6" t="n">
        <v>13.98</v>
      </c>
      <c r="O15" s="6" t="n">
        <v>8</v>
      </c>
      <c r="P15" s="8" t="n">
        <v>1.832</v>
      </c>
    </row>
    <row r="16" customFormat="false" ht="15" hidden="false" customHeight="false" outlineLevel="0" collapsed="false">
      <c r="A16" s="9" t="s">
        <v>684</v>
      </c>
      <c r="B16" s="9" t="s">
        <v>685</v>
      </c>
      <c r="C16" s="16" t="n">
        <v>21</v>
      </c>
      <c r="D16" s="16" t="n">
        <v>40</v>
      </c>
      <c r="E16" s="17" t="n">
        <v>27</v>
      </c>
      <c r="F16" s="11" t="n">
        <v>245</v>
      </c>
      <c r="G16" s="12" t="n">
        <f aca="false">F16*6</f>
        <v>1470</v>
      </c>
      <c r="H16" s="12" t="n">
        <f aca="false">F16*12</f>
        <v>2940</v>
      </c>
      <c r="I16" s="11" t="n">
        <v>312.06</v>
      </c>
      <c r="J16" s="12" t="n">
        <v>68137.6</v>
      </c>
      <c r="K16" s="12" t="n">
        <v>19709.4</v>
      </c>
      <c r="L16" s="12" t="n">
        <v>3796</v>
      </c>
      <c r="M16" s="12" t="n">
        <v>1275.7</v>
      </c>
      <c r="N16" s="11" t="n">
        <v>14.78</v>
      </c>
      <c r="O16" s="11" t="n">
        <v>7.95</v>
      </c>
      <c r="P16" s="13" t="n">
        <v>1.866</v>
      </c>
    </row>
    <row r="17" customFormat="false" ht="15" hidden="false" customHeight="false" outlineLevel="0" collapsed="false">
      <c r="A17" s="4" t="s">
        <v>686</v>
      </c>
      <c r="B17" s="4" t="s">
        <v>687</v>
      </c>
      <c r="C17" s="14" t="n">
        <v>21</v>
      </c>
      <c r="D17" s="14" t="n">
        <v>40</v>
      </c>
      <c r="E17" s="15" t="n">
        <v>27</v>
      </c>
      <c r="F17" s="6" t="n">
        <v>247.9</v>
      </c>
      <c r="G17" s="7" t="n">
        <f aca="false">F17*6</f>
        <v>1487.4</v>
      </c>
      <c r="H17" s="7" t="n">
        <f aca="false">F17*12</f>
        <v>2974.8</v>
      </c>
      <c r="I17" s="6" t="n">
        <v>315.84</v>
      </c>
      <c r="J17" s="7" t="n">
        <v>76374.8</v>
      </c>
      <c r="K17" s="7" t="n">
        <v>19710.8</v>
      </c>
      <c r="L17" s="7" t="n">
        <v>4051.7</v>
      </c>
      <c r="M17" s="7" t="n">
        <v>1275.8</v>
      </c>
      <c r="N17" s="6" t="n">
        <v>15.55</v>
      </c>
      <c r="O17" s="6" t="n">
        <v>7.9</v>
      </c>
      <c r="P17" s="8" t="n">
        <v>1.902</v>
      </c>
    </row>
    <row r="18" customFormat="false" ht="15" hidden="false" customHeight="false" outlineLevel="0" collapsed="false">
      <c r="A18" s="9" t="s">
        <v>688</v>
      </c>
      <c r="B18" s="9" t="s">
        <v>689</v>
      </c>
      <c r="C18" s="16" t="n">
        <v>21</v>
      </c>
      <c r="D18" s="16" t="n">
        <v>40</v>
      </c>
      <c r="E18" s="17" t="n">
        <v>27</v>
      </c>
      <c r="F18" s="11" t="n">
        <v>250.3</v>
      </c>
      <c r="G18" s="12" t="n">
        <f aca="false">F18*6</f>
        <v>1501.8</v>
      </c>
      <c r="H18" s="12" t="n">
        <f aca="false">F18*12</f>
        <v>3003.6</v>
      </c>
      <c r="I18" s="11" t="n">
        <v>318.82</v>
      </c>
      <c r="J18" s="12" t="n">
        <v>84870.6</v>
      </c>
      <c r="K18" s="12" t="n">
        <v>19521.8</v>
      </c>
      <c r="L18" s="12" t="n">
        <v>4297.2</v>
      </c>
      <c r="M18" s="12" t="n">
        <v>1267.7</v>
      </c>
      <c r="N18" s="11" t="n">
        <v>16.32</v>
      </c>
      <c r="O18" s="11" t="n">
        <v>7.83</v>
      </c>
      <c r="P18" s="13" t="n">
        <v>1.934</v>
      </c>
    </row>
    <row r="19" customFormat="false" ht="15" hidden="false" customHeight="false" outlineLevel="0" collapsed="false">
      <c r="A19" s="4" t="s">
        <v>690</v>
      </c>
      <c r="B19" s="4" t="s">
        <v>691</v>
      </c>
      <c r="C19" s="14" t="n">
        <v>21</v>
      </c>
      <c r="D19" s="14" t="n">
        <v>40</v>
      </c>
      <c r="E19" s="15" t="n">
        <v>27</v>
      </c>
      <c r="F19" s="6" t="n">
        <v>255.7</v>
      </c>
      <c r="G19" s="7" t="n">
        <f aca="false">F19*6</f>
        <v>1534.2</v>
      </c>
      <c r="H19" s="7" t="n">
        <f aca="false">F19*12</f>
        <v>3068.4</v>
      </c>
      <c r="I19" s="6" t="n">
        <v>325.79</v>
      </c>
      <c r="J19" s="7" t="n">
        <v>104123.6</v>
      </c>
      <c r="K19" s="7" t="n">
        <v>19335.6</v>
      </c>
      <c r="L19" s="7" t="n">
        <v>4820.5</v>
      </c>
      <c r="M19" s="7" t="n">
        <v>1259.6</v>
      </c>
      <c r="N19" s="6" t="n">
        <v>17.88</v>
      </c>
      <c r="O19" s="6" t="n">
        <v>7.7</v>
      </c>
      <c r="P19" s="8" t="n">
        <v>2.004</v>
      </c>
    </row>
    <row r="20" customFormat="false" ht="15" hidden="false" customHeight="false" outlineLevel="0" collapsed="false">
      <c r="A20" s="9" t="s">
        <v>692</v>
      </c>
      <c r="B20" s="9" t="s">
        <v>693</v>
      </c>
      <c r="C20" s="16" t="n">
        <v>21</v>
      </c>
      <c r="D20" s="16" t="n">
        <v>40</v>
      </c>
      <c r="E20" s="17" t="n">
        <v>27</v>
      </c>
      <c r="F20" s="11" t="n">
        <v>263.3</v>
      </c>
      <c r="G20" s="12" t="n">
        <f aca="false">F20*6</f>
        <v>1579.8</v>
      </c>
      <c r="H20" s="12" t="n">
        <f aca="false">F20*12</f>
        <v>3159.6</v>
      </c>
      <c r="I20" s="11" t="n">
        <v>335.45</v>
      </c>
      <c r="J20" s="12" t="n">
        <v>131490.2</v>
      </c>
      <c r="K20" s="12" t="n">
        <v>19339.1</v>
      </c>
      <c r="L20" s="12" t="n">
        <v>5501.7</v>
      </c>
      <c r="M20" s="12" t="n">
        <v>1259.9</v>
      </c>
      <c r="N20" s="11" t="n">
        <v>19.8</v>
      </c>
      <c r="O20" s="11" t="n">
        <v>7.59</v>
      </c>
      <c r="P20" s="13" t="n">
        <v>2.096</v>
      </c>
    </row>
    <row r="21" customFormat="false" ht="15" hidden="false" customHeight="false" outlineLevel="0" collapsed="false">
      <c r="A21" s="4" t="s">
        <v>694</v>
      </c>
      <c r="B21" s="4" t="s">
        <v>695</v>
      </c>
      <c r="C21" s="14" t="n">
        <v>21</v>
      </c>
      <c r="D21" s="14" t="n">
        <v>40</v>
      </c>
      <c r="E21" s="15" t="n">
        <v>27</v>
      </c>
      <c r="F21" s="6" t="n">
        <v>270.3</v>
      </c>
      <c r="G21" s="7" t="n">
        <f aca="false">F21*6</f>
        <v>1621.8</v>
      </c>
      <c r="H21" s="7" t="n">
        <f aca="false">F21*12</f>
        <v>3243.6</v>
      </c>
      <c r="I21" s="6" t="n">
        <v>344.31</v>
      </c>
      <c r="J21" s="7" t="n">
        <v>161936.3</v>
      </c>
      <c r="K21" s="7" t="n">
        <v>19154.8</v>
      </c>
      <c r="L21" s="7" t="n">
        <v>6180.8</v>
      </c>
      <c r="M21" s="7" t="n">
        <v>1251.9</v>
      </c>
      <c r="N21" s="6" t="n">
        <v>21.69</v>
      </c>
      <c r="O21" s="6" t="n">
        <v>7.46</v>
      </c>
      <c r="P21" s="8" t="n">
        <v>2.184</v>
      </c>
    </row>
    <row r="22" customFormat="false" ht="15" hidden="false" customHeight="false" outlineLevel="0" collapsed="false">
      <c r="A22" s="9" t="s">
        <v>696</v>
      </c>
      <c r="B22" s="9" t="s">
        <v>697</v>
      </c>
      <c r="C22" s="16" t="n">
        <v>21</v>
      </c>
      <c r="D22" s="16" t="n">
        <v>40</v>
      </c>
      <c r="E22" s="17" t="n">
        <v>27</v>
      </c>
      <c r="F22" s="11" t="n">
        <v>278.2</v>
      </c>
      <c r="G22" s="12" t="n">
        <f aca="false">F22*6</f>
        <v>1669.2</v>
      </c>
      <c r="H22" s="12" t="n">
        <f aca="false">F22*12</f>
        <v>3338.4</v>
      </c>
      <c r="I22" s="11" t="n">
        <v>354.39</v>
      </c>
      <c r="J22" s="12" t="n">
        <v>197993.1</v>
      </c>
      <c r="K22" s="12" t="n">
        <v>19158.5</v>
      </c>
      <c r="L22" s="12" t="n">
        <v>6922.8</v>
      </c>
      <c r="M22" s="12" t="n">
        <v>1252.2</v>
      </c>
      <c r="N22" s="11" t="n">
        <v>23.64</v>
      </c>
      <c r="O22" s="11" t="n">
        <v>7.35</v>
      </c>
      <c r="P22" s="13" t="n">
        <v>2.28</v>
      </c>
    </row>
    <row r="23" customFormat="false" ht="15" hidden="false" customHeight="false" outlineLevel="0" collapsed="false">
      <c r="A23" s="4" t="s">
        <v>698</v>
      </c>
      <c r="B23" s="4" t="s">
        <v>699</v>
      </c>
      <c r="C23" s="14" t="n">
        <v>21</v>
      </c>
      <c r="D23" s="14" t="n">
        <v>40</v>
      </c>
      <c r="E23" s="15" t="n">
        <v>27</v>
      </c>
      <c r="F23" s="6" t="n">
        <v>285.5</v>
      </c>
      <c r="G23" s="7" t="n">
        <f aca="false">F23*6</f>
        <v>1713</v>
      </c>
      <c r="H23" s="7" t="n">
        <f aca="false">F23*12</f>
        <v>3426</v>
      </c>
      <c r="I23" s="6" t="n">
        <v>363.67</v>
      </c>
      <c r="J23" s="7" t="n">
        <v>237458.6</v>
      </c>
      <c r="K23" s="7" t="n">
        <v>18975.5</v>
      </c>
      <c r="L23" s="7" t="n">
        <v>7660</v>
      </c>
      <c r="M23" s="7" t="n">
        <v>1244.3</v>
      </c>
      <c r="N23" s="6" t="n">
        <v>25.55</v>
      </c>
      <c r="O23" s="6" t="n">
        <v>7.22</v>
      </c>
      <c r="P23" s="8" t="n">
        <v>2.372</v>
      </c>
    </row>
    <row r="24" customFormat="false" ht="15" hidden="false" customHeight="false" outlineLevel="0" collapsed="false">
      <c r="A24" s="9" t="s">
        <v>700</v>
      </c>
      <c r="B24" s="9" t="s">
        <v>701</v>
      </c>
      <c r="C24" s="16" t="n">
        <v>21</v>
      </c>
      <c r="D24" s="16" t="n">
        <v>40</v>
      </c>
      <c r="E24" s="17" t="n">
        <v>27</v>
      </c>
      <c r="F24" s="11" t="n">
        <v>293.4</v>
      </c>
      <c r="G24" s="12" t="n">
        <f aca="false">F24*6</f>
        <v>1760.4</v>
      </c>
      <c r="H24" s="12" t="n">
        <f aca="false">F24*12</f>
        <v>3520.8</v>
      </c>
      <c r="I24" s="11" t="n">
        <v>373.75</v>
      </c>
      <c r="J24" s="12" t="n">
        <v>281680.8</v>
      </c>
      <c r="K24" s="12" t="n">
        <v>18979.2</v>
      </c>
      <c r="L24" s="12" t="n">
        <v>8433.6</v>
      </c>
      <c r="M24" s="12" t="n">
        <v>1244.5</v>
      </c>
      <c r="N24" s="11" t="n">
        <v>27.45</v>
      </c>
      <c r="O24" s="11" t="n">
        <v>7.13</v>
      </c>
      <c r="P24" s="13" t="n">
        <v>2.468</v>
      </c>
    </row>
    <row r="25" customFormat="false" ht="15" hidden="false" customHeight="false" outlineLevel="0" collapsed="false">
      <c r="A25" s="4" t="s">
        <v>702</v>
      </c>
      <c r="B25" s="4" t="s">
        <v>703</v>
      </c>
      <c r="C25" s="14" t="n">
        <v>21</v>
      </c>
      <c r="D25" s="14" t="n">
        <v>40</v>
      </c>
      <c r="E25" s="15" t="n">
        <v>27</v>
      </c>
      <c r="F25" s="6" t="n">
        <v>300.7</v>
      </c>
      <c r="G25" s="7" t="n">
        <f aca="false">F25*6</f>
        <v>1804.2</v>
      </c>
      <c r="H25" s="7" t="n">
        <f aca="false">F25*12</f>
        <v>3608.4</v>
      </c>
      <c r="I25" s="6" t="n">
        <v>383.03</v>
      </c>
      <c r="J25" s="7" t="n">
        <v>329293.6</v>
      </c>
      <c r="K25" s="7" t="n">
        <v>18797.5</v>
      </c>
      <c r="L25" s="7" t="n">
        <v>9198.1</v>
      </c>
      <c r="M25" s="7" t="n">
        <v>1236.7</v>
      </c>
      <c r="N25" s="6" t="n">
        <v>29.32</v>
      </c>
      <c r="O25" s="6" t="n">
        <v>7.01</v>
      </c>
      <c r="P25" s="8" t="n">
        <v>2.56</v>
      </c>
    </row>
    <row r="26" customFormat="false" ht="15" hidden="false" customHeight="false" outlineLevel="0" collapsed="false">
      <c r="A26" s="9" t="s">
        <v>704</v>
      </c>
      <c r="B26" s="9" t="s">
        <v>705</v>
      </c>
      <c r="C26" s="16" t="n">
        <v>21</v>
      </c>
      <c r="D26" s="16" t="n">
        <v>40</v>
      </c>
      <c r="E26" s="17" t="n">
        <v>30</v>
      </c>
      <c r="F26" s="11" t="n">
        <v>317.4</v>
      </c>
      <c r="G26" s="12" t="n">
        <f aca="false">F26*6</f>
        <v>1904.4</v>
      </c>
      <c r="H26" s="12" t="n">
        <f aca="false">F26*12</f>
        <v>3808.8</v>
      </c>
      <c r="I26" s="11" t="n">
        <v>404.29</v>
      </c>
      <c r="J26" s="12" t="n">
        <v>442623.6</v>
      </c>
      <c r="K26" s="12" t="n">
        <v>18627.5</v>
      </c>
      <c r="L26" s="12" t="n">
        <v>10875.3</v>
      </c>
      <c r="M26" s="12" t="n">
        <v>1229.5</v>
      </c>
      <c r="N26" s="11" t="n">
        <v>33.09</v>
      </c>
      <c r="O26" s="11" t="n">
        <v>6.79</v>
      </c>
      <c r="P26" s="13" t="n">
        <v>2.746</v>
      </c>
    </row>
    <row r="27" customFormat="false" ht="15" hidden="false" customHeight="false" outlineLevel="0" collapsed="false">
      <c r="A27" s="4" t="s">
        <v>706</v>
      </c>
      <c r="B27" s="4" t="s">
        <v>707</v>
      </c>
      <c r="C27" s="14" t="n">
        <v>21</v>
      </c>
      <c r="D27" s="14" t="n">
        <v>40</v>
      </c>
      <c r="E27" s="15" t="n">
        <v>30</v>
      </c>
      <c r="F27" s="6" t="n">
        <v>332.6</v>
      </c>
      <c r="G27" s="7" t="n">
        <f aca="false">F27*6</f>
        <v>1995.6</v>
      </c>
      <c r="H27" s="7" t="n">
        <f aca="false">F27*12</f>
        <v>3991.2</v>
      </c>
      <c r="I27" s="6" t="n">
        <v>423.65</v>
      </c>
      <c r="J27" s="7" t="n">
        <v>570467.2</v>
      </c>
      <c r="K27" s="7" t="n">
        <v>18451.9</v>
      </c>
      <c r="L27" s="7" t="n">
        <v>12537.7</v>
      </c>
      <c r="M27" s="7" t="n">
        <v>1222</v>
      </c>
      <c r="N27" s="6" t="n">
        <v>36.7</v>
      </c>
      <c r="O27" s="6" t="n">
        <v>6.6</v>
      </c>
      <c r="P27" s="8" t="n">
        <v>2.934</v>
      </c>
    </row>
    <row r="28" customFormat="false" ht="15" hidden="false" customHeight="false" outlineLevel="0" collapsed="false">
      <c r="A28" s="9" t="s">
        <v>708</v>
      </c>
      <c r="B28" s="9" t="s">
        <v>709</v>
      </c>
      <c r="C28" s="16" t="n">
        <v>21</v>
      </c>
      <c r="D28" s="16" t="n">
        <v>40</v>
      </c>
      <c r="E28" s="17" t="n">
        <v>30</v>
      </c>
      <c r="F28" s="11" t="n">
        <v>348.7</v>
      </c>
      <c r="G28" s="12" t="n">
        <f aca="false">F28*6</f>
        <v>2092.2</v>
      </c>
      <c r="H28" s="12" t="n">
        <f aca="false">F28*12</f>
        <v>4184.4</v>
      </c>
      <c r="I28" s="11" t="n">
        <v>444.23</v>
      </c>
      <c r="J28" s="12" t="n">
        <v>722340.9</v>
      </c>
      <c r="K28" s="12" t="n">
        <v>18459.4</v>
      </c>
      <c r="L28" s="12" t="n">
        <v>14332.2</v>
      </c>
      <c r="M28" s="12" t="n">
        <v>1222.5</v>
      </c>
      <c r="N28" s="11" t="n">
        <v>40.32</v>
      </c>
      <c r="O28" s="11" t="n">
        <v>6.45</v>
      </c>
      <c r="P28" s="13" t="n">
        <v>3.13</v>
      </c>
    </row>
  </sheetData>
  <autoFilter ref="A4:P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11"/>
    <col collapsed="false" customWidth="true" hidden="false" outlineLevel="0" max="14" min="13" style="0" width="10"/>
    <col collapsed="false" customWidth="true" hidden="false" outlineLevel="0" max="15" min="15" style="0" width="21"/>
  </cols>
  <sheetData>
    <row r="1" customFormat="false" ht="17.35" hidden="false" customHeight="false" outlineLevel="0" collapsed="false">
      <c r="A1" s="1" t="s">
        <v>710</v>
      </c>
    </row>
    <row r="2" customFormat="false" ht="15" hidden="false" customHeight="false" outlineLevel="0" collapsed="false">
      <c r="A2" s="2" t="s">
        <v>711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712</v>
      </c>
      <c r="B5" s="4" t="s">
        <v>713</v>
      </c>
      <c r="C5" s="14" t="n">
        <v>3.9</v>
      </c>
      <c r="D5" s="14" t="n">
        <v>5.9</v>
      </c>
      <c r="E5" s="6" t="n">
        <v>5.9</v>
      </c>
      <c r="F5" s="7" t="n">
        <f aca="false">E5*6</f>
        <v>35.4</v>
      </c>
      <c r="G5" s="7" t="n">
        <f aca="false">E5*12</f>
        <v>70.8</v>
      </c>
      <c r="H5" s="6" t="n">
        <v>7.57</v>
      </c>
      <c r="I5" s="7" t="n">
        <v>77.8</v>
      </c>
      <c r="J5" s="7" t="n">
        <v>6.29</v>
      </c>
      <c r="K5" s="7" t="n">
        <v>19.5</v>
      </c>
      <c r="L5" s="7" t="n">
        <v>3</v>
      </c>
      <c r="M5" s="6" t="n">
        <v>3.2</v>
      </c>
      <c r="N5" s="6" t="n">
        <v>0.91</v>
      </c>
      <c r="O5" s="8" t="n">
        <v>0.32</v>
      </c>
    </row>
    <row r="6" customFormat="false" ht="15" hidden="false" customHeight="false" outlineLevel="0" collapsed="false">
      <c r="A6" s="9" t="s">
        <v>714</v>
      </c>
      <c r="B6" s="9" t="s">
        <v>302</v>
      </c>
      <c r="C6" s="16" t="n">
        <v>4.5</v>
      </c>
      <c r="D6" s="16" t="n">
        <v>6.8</v>
      </c>
      <c r="E6" s="11" t="n">
        <v>8.3</v>
      </c>
      <c r="F6" s="12" t="n">
        <f aca="false">E6*6</f>
        <v>49.8</v>
      </c>
      <c r="G6" s="12" t="n">
        <f aca="false">E6*12</f>
        <v>99.6</v>
      </c>
      <c r="H6" s="11" t="n">
        <v>10.6</v>
      </c>
      <c r="I6" s="12" t="n">
        <v>171</v>
      </c>
      <c r="J6" s="12" t="n">
        <v>12.2</v>
      </c>
      <c r="K6" s="12" t="n">
        <v>34.2</v>
      </c>
      <c r="L6" s="12" t="n">
        <v>4.88</v>
      </c>
      <c r="M6" s="11" t="n">
        <v>4.01</v>
      </c>
      <c r="N6" s="11" t="n">
        <v>1.07</v>
      </c>
      <c r="O6" s="13" t="n">
        <v>0.391</v>
      </c>
    </row>
    <row r="7" customFormat="false" ht="15" hidden="false" customHeight="false" outlineLevel="0" collapsed="false">
      <c r="A7" s="4" t="s">
        <v>715</v>
      </c>
      <c r="B7" s="4" t="s">
        <v>716</v>
      </c>
      <c r="C7" s="14" t="n">
        <v>5.1</v>
      </c>
      <c r="D7" s="14" t="n">
        <v>7.7</v>
      </c>
      <c r="E7" s="6" t="n">
        <v>11.1</v>
      </c>
      <c r="F7" s="7" t="n">
        <f aca="false">E7*6</f>
        <v>66.6</v>
      </c>
      <c r="G7" s="7" t="n">
        <f aca="false">E7*12</f>
        <v>133.2</v>
      </c>
      <c r="H7" s="6" t="n">
        <v>14.2</v>
      </c>
      <c r="I7" s="7" t="n">
        <v>328</v>
      </c>
      <c r="J7" s="7" t="n">
        <v>21.5</v>
      </c>
      <c r="K7" s="7" t="n">
        <v>54.7</v>
      </c>
      <c r="L7" s="7" t="n">
        <v>7.41</v>
      </c>
      <c r="M7" s="6" t="n">
        <v>4.81</v>
      </c>
      <c r="N7" s="6" t="n">
        <v>1.23</v>
      </c>
      <c r="O7" s="8" t="n">
        <v>0.462</v>
      </c>
    </row>
    <row r="8" customFormat="false" ht="15" hidden="false" customHeight="false" outlineLevel="0" collapsed="false">
      <c r="A8" s="9" t="s">
        <v>717</v>
      </c>
      <c r="B8" s="9" t="s">
        <v>718</v>
      </c>
      <c r="C8" s="16" t="n">
        <v>5.7</v>
      </c>
      <c r="D8" s="16" t="n">
        <v>8.6</v>
      </c>
      <c r="E8" s="11" t="n">
        <v>14.3</v>
      </c>
      <c r="F8" s="12" t="n">
        <f aca="false">E8*6</f>
        <v>85.8</v>
      </c>
      <c r="G8" s="12" t="n">
        <f aca="false">E8*12</f>
        <v>171.6</v>
      </c>
      <c r="H8" s="11" t="n">
        <v>18.2</v>
      </c>
      <c r="I8" s="12" t="n">
        <v>573</v>
      </c>
      <c r="J8" s="12" t="n">
        <v>35.2</v>
      </c>
      <c r="K8" s="12" t="n">
        <v>81.9</v>
      </c>
      <c r="L8" s="12" t="n">
        <v>10.7</v>
      </c>
      <c r="M8" s="11" t="n">
        <v>5.61</v>
      </c>
      <c r="N8" s="11" t="n">
        <v>1.4</v>
      </c>
      <c r="O8" s="13" t="n">
        <v>0.533</v>
      </c>
    </row>
    <row r="9" customFormat="false" ht="15" hidden="false" customHeight="false" outlineLevel="0" collapsed="false">
      <c r="A9" s="4" t="s">
        <v>719</v>
      </c>
      <c r="B9" s="4" t="s">
        <v>720</v>
      </c>
      <c r="C9" s="14" t="n">
        <v>6.3</v>
      </c>
      <c r="D9" s="14" t="n">
        <v>9.5</v>
      </c>
      <c r="E9" s="6" t="n">
        <v>17.9</v>
      </c>
      <c r="F9" s="7" t="n">
        <f aca="false">E9*6</f>
        <v>107.4</v>
      </c>
      <c r="G9" s="7" t="n">
        <f aca="false">E9*12</f>
        <v>214.8</v>
      </c>
      <c r="H9" s="6" t="n">
        <v>22.8</v>
      </c>
      <c r="I9" s="7" t="n">
        <v>935</v>
      </c>
      <c r="J9" s="7" t="n">
        <v>54.7</v>
      </c>
      <c r="K9" s="7" t="n">
        <v>117</v>
      </c>
      <c r="L9" s="7" t="n">
        <v>14.8</v>
      </c>
      <c r="M9" s="6" t="n">
        <v>6.4</v>
      </c>
      <c r="N9" s="6" t="n">
        <v>1.55</v>
      </c>
      <c r="O9" s="8" t="n">
        <v>0.603</v>
      </c>
    </row>
    <row r="10" customFormat="false" ht="15" hidden="false" customHeight="false" outlineLevel="0" collapsed="false">
      <c r="A10" s="9" t="s">
        <v>721</v>
      </c>
      <c r="B10" s="9" t="s">
        <v>722</v>
      </c>
      <c r="C10" s="16" t="n">
        <v>6.9</v>
      </c>
      <c r="D10" s="16" t="n">
        <v>10.4</v>
      </c>
      <c r="E10" s="11" t="n">
        <v>21.9</v>
      </c>
      <c r="F10" s="12" t="n">
        <f aca="false">E10*6</f>
        <v>131.4</v>
      </c>
      <c r="G10" s="12" t="n">
        <f aca="false">E10*12</f>
        <v>262.8</v>
      </c>
      <c r="H10" s="11" t="n">
        <v>27.9</v>
      </c>
      <c r="I10" s="12" t="n">
        <v>1450</v>
      </c>
      <c r="J10" s="12" t="n">
        <v>81.3</v>
      </c>
      <c r="K10" s="12" t="n">
        <v>161</v>
      </c>
      <c r="L10" s="12" t="n">
        <v>19.8</v>
      </c>
      <c r="M10" s="11" t="n">
        <v>7.2</v>
      </c>
      <c r="N10" s="11" t="n">
        <v>1.71</v>
      </c>
      <c r="O10" s="13" t="n">
        <v>0.674</v>
      </c>
    </row>
    <row r="11" customFormat="false" ht="15" hidden="false" customHeight="false" outlineLevel="0" collapsed="false">
      <c r="A11" s="4" t="s">
        <v>723</v>
      </c>
      <c r="B11" s="4" t="s">
        <v>724</v>
      </c>
      <c r="C11" s="14" t="n">
        <v>7.5</v>
      </c>
      <c r="D11" s="14" t="n">
        <v>11.3</v>
      </c>
      <c r="E11" s="6" t="n">
        <v>26.2</v>
      </c>
      <c r="F11" s="7" t="n">
        <f aca="false">E11*6</f>
        <v>157.2</v>
      </c>
      <c r="G11" s="7" t="n">
        <f aca="false">E11*12</f>
        <v>314.4</v>
      </c>
      <c r="H11" s="6" t="n">
        <v>33.4</v>
      </c>
      <c r="I11" s="7" t="n">
        <v>2140</v>
      </c>
      <c r="J11" s="7" t="n">
        <v>117</v>
      </c>
      <c r="K11" s="7" t="n">
        <v>214</v>
      </c>
      <c r="L11" s="7" t="n">
        <v>26</v>
      </c>
      <c r="M11" s="6" t="n">
        <v>8</v>
      </c>
      <c r="N11" s="6" t="n">
        <v>1.87</v>
      </c>
      <c r="O11" s="8" t="n">
        <v>0.745</v>
      </c>
    </row>
    <row r="12" customFormat="false" ht="15" hidden="false" customHeight="false" outlineLevel="0" collapsed="false">
      <c r="A12" s="9" t="s">
        <v>725</v>
      </c>
      <c r="B12" s="9" t="s">
        <v>726</v>
      </c>
      <c r="C12" s="16" t="n">
        <v>8.1</v>
      </c>
      <c r="D12" s="16" t="n">
        <v>12.2</v>
      </c>
      <c r="E12" s="11" t="n">
        <v>31</v>
      </c>
      <c r="F12" s="12" t="n">
        <f aca="false">E12*6</f>
        <v>186</v>
      </c>
      <c r="G12" s="12" t="n">
        <f aca="false">E12*12</f>
        <v>372</v>
      </c>
      <c r="H12" s="11" t="n">
        <v>39.5</v>
      </c>
      <c r="I12" s="12" t="n">
        <v>3060</v>
      </c>
      <c r="J12" s="12" t="n">
        <v>162</v>
      </c>
      <c r="K12" s="12" t="n">
        <v>278</v>
      </c>
      <c r="L12" s="12" t="n">
        <v>33.1</v>
      </c>
      <c r="M12" s="11" t="n">
        <v>8.8</v>
      </c>
      <c r="N12" s="11" t="n">
        <v>2.02</v>
      </c>
      <c r="O12" s="13" t="n">
        <v>0.816</v>
      </c>
    </row>
    <row r="13" customFormat="false" ht="15" hidden="false" customHeight="false" outlineLevel="0" collapsed="false">
      <c r="A13" s="4" t="s">
        <v>727</v>
      </c>
      <c r="B13" s="4" t="s">
        <v>728</v>
      </c>
      <c r="C13" s="14" t="n">
        <v>8.7</v>
      </c>
      <c r="D13" s="14" t="n">
        <v>13.1</v>
      </c>
      <c r="E13" s="6" t="n">
        <v>36.2</v>
      </c>
      <c r="F13" s="7" t="n">
        <f aca="false">E13*6</f>
        <v>217.2</v>
      </c>
      <c r="G13" s="7" t="n">
        <f aca="false">E13*12</f>
        <v>434.4</v>
      </c>
      <c r="H13" s="6" t="n">
        <v>46.1</v>
      </c>
      <c r="I13" s="7" t="n">
        <v>4250</v>
      </c>
      <c r="J13" s="7" t="n">
        <v>221</v>
      </c>
      <c r="K13" s="7" t="n">
        <v>354</v>
      </c>
      <c r="L13" s="7" t="n">
        <v>41.7</v>
      </c>
      <c r="M13" s="6" t="n">
        <v>9.59</v>
      </c>
      <c r="N13" s="6" t="n">
        <v>2.2</v>
      </c>
      <c r="O13" s="8" t="n">
        <v>0.887</v>
      </c>
    </row>
    <row r="14" customFormat="false" ht="15" hidden="false" customHeight="false" outlineLevel="0" collapsed="false">
      <c r="A14" s="9" t="s">
        <v>729</v>
      </c>
      <c r="B14" s="9" t="s">
        <v>730</v>
      </c>
      <c r="C14" s="16" t="n">
        <v>9.4</v>
      </c>
      <c r="D14" s="16" t="n">
        <v>14.1</v>
      </c>
      <c r="E14" s="11" t="n">
        <v>41.8</v>
      </c>
      <c r="F14" s="12" t="n">
        <f aca="false">E14*6</f>
        <v>250.8</v>
      </c>
      <c r="G14" s="12" t="n">
        <f aca="false">E14*12</f>
        <v>501.6</v>
      </c>
      <c r="H14" s="11" t="n">
        <v>53.3</v>
      </c>
      <c r="I14" s="12" t="n">
        <v>5740</v>
      </c>
      <c r="J14" s="12" t="n">
        <v>288</v>
      </c>
      <c r="K14" s="12" t="n">
        <v>442</v>
      </c>
      <c r="L14" s="12" t="n">
        <v>51</v>
      </c>
      <c r="M14" s="11" t="n">
        <v>10.4</v>
      </c>
      <c r="N14" s="11" t="n">
        <v>2.32</v>
      </c>
      <c r="O14" s="13" t="n">
        <v>0.953</v>
      </c>
    </row>
    <row r="15" customFormat="false" ht="15" hidden="false" customHeight="false" outlineLevel="0" collapsed="false">
      <c r="A15" s="4" t="s">
        <v>731</v>
      </c>
      <c r="B15" s="4" t="s">
        <v>732</v>
      </c>
      <c r="C15" s="14" t="n">
        <v>10.1</v>
      </c>
      <c r="D15" s="14" t="n">
        <v>15.2</v>
      </c>
      <c r="E15" s="6" t="n">
        <v>47.9</v>
      </c>
      <c r="F15" s="7" t="n">
        <f aca="false">E15*6</f>
        <v>287.4</v>
      </c>
      <c r="G15" s="7" t="n">
        <f aca="false">E15*12</f>
        <v>574.8</v>
      </c>
      <c r="H15" s="6" t="n">
        <v>61</v>
      </c>
      <c r="I15" s="7" t="n">
        <v>7590</v>
      </c>
      <c r="J15" s="7" t="n">
        <v>364</v>
      </c>
      <c r="K15" s="7" t="n">
        <v>542</v>
      </c>
      <c r="L15" s="7" t="n">
        <v>61.2</v>
      </c>
      <c r="M15" s="6" t="n">
        <v>11.1</v>
      </c>
      <c r="N15" s="6" t="n">
        <v>2.45</v>
      </c>
      <c r="O15" s="8" t="n">
        <v>1.016</v>
      </c>
    </row>
    <row r="16" customFormat="false" ht="15" hidden="false" customHeight="false" outlineLevel="0" collapsed="false">
      <c r="A16" s="9" t="s">
        <v>733</v>
      </c>
      <c r="B16" s="9" t="s">
        <v>734</v>
      </c>
      <c r="C16" s="16" t="n">
        <v>10.8</v>
      </c>
      <c r="D16" s="16" t="n">
        <v>16.2</v>
      </c>
      <c r="E16" s="11" t="n">
        <v>54.2</v>
      </c>
      <c r="F16" s="12" t="n">
        <f aca="false">E16*6</f>
        <v>325.2</v>
      </c>
      <c r="G16" s="12" t="n">
        <f aca="false">E16*12</f>
        <v>650.4</v>
      </c>
      <c r="H16" s="11" t="n">
        <v>69</v>
      </c>
      <c r="I16" s="12" t="n">
        <v>9800</v>
      </c>
      <c r="J16" s="12" t="n">
        <v>451</v>
      </c>
      <c r="K16" s="12" t="n">
        <v>653</v>
      </c>
      <c r="L16" s="12" t="n">
        <v>72.2</v>
      </c>
      <c r="M16" s="11" t="n">
        <v>11.9</v>
      </c>
      <c r="N16" s="11" t="n">
        <v>2.56</v>
      </c>
      <c r="O16" s="13" t="n">
        <v>1.078</v>
      </c>
    </row>
    <row r="17" customFormat="false" ht="15" hidden="false" customHeight="false" outlineLevel="0" collapsed="false">
      <c r="A17" s="4" t="s">
        <v>735</v>
      </c>
      <c r="B17" s="4" t="s">
        <v>736</v>
      </c>
      <c r="C17" s="14" t="n">
        <v>11.5</v>
      </c>
      <c r="D17" s="14" t="n">
        <v>17.3</v>
      </c>
      <c r="E17" s="6" t="n">
        <v>61</v>
      </c>
      <c r="F17" s="7" t="n">
        <f aca="false">E17*6</f>
        <v>366</v>
      </c>
      <c r="G17" s="7" t="n">
        <f aca="false">E17*12</f>
        <v>732</v>
      </c>
      <c r="H17" s="6" t="n">
        <v>77.7</v>
      </c>
      <c r="I17" s="7" t="n">
        <v>12510</v>
      </c>
      <c r="J17" s="7" t="n">
        <v>555</v>
      </c>
      <c r="K17" s="7" t="n">
        <v>782</v>
      </c>
      <c r="L17" s="7" t="n">
        <v>84.7</v>
      </c>
      <c r="M17" s="6" t="n">
        <v>12.7</v>
      </c>
      <c r="N17" s="6" t="n">
        <v>2.67</v>
      </c>
      <c r="O17" s="8" t="n">
        <v>1.141</v>
      </c>
    </row>
    <row r="18" customFormat="false" ht="15" hidden="false" customHeight="false" outlineLevel="0" collapsed="false">
      <c r="A18" s="9" t="s">
        <v>737</v>
      </c>
      <c r="B18" s="9" t="s">
        <v>738</v>
      </c>
      <c r="C18" s="16" t="n">
        <v>12.2</v>
      </c>
      <c r="D18" s="16" t="n">
        <v>18.3</v>
      </c>
      <c r="E18" s="11" t="n">
        <v>68.1</v>
      </c>
      <c r="F18" s="12" t="n">
        <f aca="false">E18*6</f>
        <v>408.6</v>
      </c>
      <c r="G18" s="12" t="n">
        <f aca="false">E18*12</f>
        <v>817.2</v>
      </c>
      <c r="H18" s="11" t="n">
        <v>86.7</v>
      </c>
      <c r="I18" s="12" t="n">
        <v>15700</v>
      </c>
      <c r="J18" s="12" t="n">
        <v>674</v>
      </c>
      <c r="K18" s="12" t="n">
        <v>923</v>
      </c>
      <c r="L18" s="12" t="n">
        <v>98.4</v>
      </c>
      <c r="M18" s="11" t="n">
        <v>13.5</v>
      </c>
      <c r="N18" s="11" t="n">
        <v>2.8</v>
      </c>
      <c r="O18" s="13" t="n">
        <v>1.204</v>
      </c>
    </row>
    <row r="19" customFormat="false" ht="15" hidden="false" customHeight="false" outlineLevel="0" collapsed="false">
      <c r="A19" s="4" t="s">
        <v>739</v>
      </c>
      <c r="B19" s="4" t="s">
        <v>740</v>
      </c>
      <c r="C19" s="14" t="n">
        <v>13</v>
      </c>
      <c r="D19" s="14" t="n">
        <v>19.5</v>
      </c>
      <c r="E19" s="6" t="n">
        <v>76.1</v>
      </c>
      <c r="F19" s="7" t="n">
        <f aca="false">E19*6</f>
        <v>456.6</v>
      </c>
      <c r="G19" s="7" t="n">
        <f aca="false">E19*12</f>
        <v>913.2</v>
      </c>
      <c r="H19" s="6" t="n">
        <v>97</v>
      </c>
      <c r="I19" s="7" t="n">
        <v>19610</v>
      </c>
      <c r="J19" s="7" t="n">
        <v>818</v>
      </c>
      <c r="K19" s="7" t="n">
        <v>1090</v>
      </c>
      <c r="L19" s="7" t="n">
        <v>114</v>
      </c>
      <c r="M19" s="6" t="n">
        <v>14.2</v>
      </c>
      <c r="N19" s="6" t="n">
        <v>2.9</v>
      </c>
      <c r="O19" s="8" t="n">
        <v>1.266</v>
      </c>
    </row>
    <row r="20" customFormat="false" ht="15" hidden="false" customHeight="false" outlineLevel="0" collapsed="false">
      <c r="A20" s="9" t="s">
        <v>741</v>
      </c>
      <c r="B20" s="9" t="s">
        <v>742</v>
      </c>
      <c r="C20" s="16" t="n">
        <v>13.7</v>
      </c>
      <c r="D20" s="16" t="n">
        <v>20.5</v>
      </c>
      <c r="E20" s="11" t="n">
        <v>84</v>
      </c>
      <c r="F20" s="12" t="n">
        <f aca="false">E20*6</f>
        <v>504</v>
      </c>
      <c r="G20" s="12" t="n">
        <f aca="false">E20*12</f>
        <v>1008</v>
      </c>
      <c r="H20" s="11" t="n">
        <v>107</v>
      </c>
      <c r="I20" s="12" t="n">
        <v>24010</v>
      </c>
      <c r="J20" s="12" t="n">
        <v>975</v>
      </c>
      <c r="K20" s="12" t="n">
        <v>1260</v>
      </c>
      <c r="L20" s="12" t="n">
        <v>131</v>
      </c>
      <c r="M20" s="11" t="n">
        <v>15</v>
      </c>
      <c r="N20" s="11" t="n">
        <v>3.02</v>
      </c>
      <c r="O20" s="13" t="n">
        <v>1.329</v>
      </c>
    </row>
    <row r="21" customFormat="false" ht="15" hidden="false" customHeight="false" outlineLevel="0" collapsed="false">
      <c r="A21" s="4" t="s">
        <v>743</v>
      </c>
      <c r="B21" s="4" t="s">
        <v>744</v>
      </c>
      <c r="C21" s="14" t="n">
        <v>14.4</v>
      </c>
      <c r="D21" s="14" t="n">
        <v>21.6</v>
      </c>
      <c r="E21" s="6" t="n">
        <v>92.6</v>
      </c>
      <c r="F21" s="7" t="n">
        <f aca="false">E21*6</f>
        <v>555.6</v>
      </c>
      <c r="G21" s="7" t="n">
        <f aca="false">E21*12</f>
        <v>1111.2</v>
      </c>
      <c r="H21" s="6" t="n">
        <v>118</v>
      </c>
      <c r="I21" s="7" t="n">
        <v>29210</v>
      </c>
      <c r="J21" s="7" t="n">
        <v>1160</v>
      </c>
      <c r="K21" s="7" t="n">
        <v>1460</v>
      </c>
      <c r="L21" s="7" t="n">
        <v>149</v>
      </c>
      <c r="M21" s="6" t="n">
        <v>15.7</v>
      </c>
      <c r="N21" s="6" t="n">
        <v>3.13</v>
      </c>
      <c r="O21" s="8" t="n">
        <v>1.391</v>
      </c>
    </row>
    <row r="22" customFormat="false" ht="15" hidden="false" customHeight="false" outlineLevel="0" collapsed="false">
      <c r="A22" s="9" t="s">
        <v>745</v>
      </c>
      <c r="B22" s="9" t="s">
        <v>746</v>
      </c>
      <c r="C22" s="16" t="n">
        <v>16.2</v>
      </c>
      <c r="D22" s="16" t="n">
        <v>24.3</v>
      </c>
      <c r="E22" s="11" t="n">
        <v>115.4</v>
      </c>
      <c r="F22" s="12" t="n">
        <f aca="false">E22*6</f>
        <v>692.4</v>
      </c>
      <c r="G22" s="12" t="n">
        <f aca="false">E22*12</f>
        <v>1384.8</v>
      </c>
      <c r="H22" s="11" t="n">
        <v>147</v>
      </c>
      <c r="I22" s="12" t="n">
        <v>45850</v>
      </c>
      <c r="J22" s="12" t="n">
        <v>1730</v>
      </c>
      <c r="K22" s="12" t="n">
        <v>2040</v>
      </c>
      <c r="L22" s="12" t="n">
        <v>203</v>
      </c>
      <c r="M22" s="11" t="n">
        <v>17.7</v>
      </c>
      <c r="N22" s="11" t="n">
        <v>3.43</v>
      </c>
      <c r="O22" s="13" t="n">
        <v>1.548</v>
      </c>
    </row>
    <row r="23" customFormat="false" ht="15" hidden="false" customHeight="false" outlineLevel="0" collapsed="false">
      <c r="A23" s="4" t="s">
        <v>747</v>
      </c>
      <c r="B23" s="4" t="s">
        <v>748</v>
      </c>
      <c r="C23" s="14" t="n">
        <v>18</v>
      </c>
      <c r="D23" s="14" t="n">
        <v>27</v>
      </c>
      <c r="E23" s="6" t="n">
        <v>140.5</v>
      </c>
      <c r="F23" s="7" t="n">
        <f aca="false">E23*6</f>
        <v>843</v>
      </c>
      <c r="G23" s="7" t="n">
        <f aca="false">E23*12</f>
        <v>1686</v>
      </c>
      <c r="H23" s="6" t="n">
        <v>179</v>
      </c>
      <c r="I23" s="7" t="n">
        <v>68740</v>
      </c>
      <c r="J23" s="7" t="n">
        <v>2480</v>
      </c>
      <c r="K23" s="7" t="n">
        <v>2750</v>
      </c>
      <c r="L23" s="7" t="n">
        <v>268</v>
      </c>
      <c r="M23" s="6" t="n">
        <v>19.6</v>
      </c>
      <c r="N23" s="6" t="n">
        <v>3.72</v>
      </c>
      <c r="O23" s="8" t="n">
        <v>1.704</v>
      </c>
    </row>
    <row r="24" customFormat="false" ht="15" hidden="false" customHeight="false" outlineLevel="0" collapsed="false">
      <c r="A24" s="9" t="s">
        <v>749</v>
      </c>
      <c r="B24" s="9" t="s">
        <v>750</v>
      </c>
      <c r="C24" s="16" t="n">
        <v>19</v>
      </c>
      <c r="D24" s="16" t="n">
        <v>30</v>
      </c>
      <c r="E24" s="11" t="n">
        <v>166.4</v>
      </c>
      <c r="F24" s="12" t="n">
        <f aca="false">E24*6</f>
        <v>998.4</v>
      </c>
      <c r="G24" s="12" t="n">
        <f aca="false">E24*12</f>
        <v>1996.8</v>
      </c>
      <c r="H24" s="11" t="n">
        <v>212</v>
      </c>
      <c r="I24" s="12" t="n">
        <v>99180</v>
      </c>
      <c r="J24" s="12" t="n">
        <v>3490</v>
      </c>
      <c r="K24" s="12" t="n">
        <v>3610</v>
      </c>
      <c r="L24" s="12" t="n">
        <v>349</v>
      </c>
      <c r="M24" s="11" t="n">
        <v>21.6</v>
      </c>
      <c r="N24" s="11" t="n">
        <v>4.02</v>
      </c>
      <c r="O24" s="13" t="n">
        <v>1.862</v>
      </c>
    </row>
    <row r="25" customFormat="false" ht="15" hidden="false" customHeight="false" outlineLevel="0" collapsed="false">
      <c r="A25" s="4" t="s">
        <v>751</v>
      </c>
      <c r="B25" s="4" t="s">
        <v>752</v>
      </c>
      <c r="C25" s="14" t="n">
        <v>21.6</v>
      </c>
      <c r="D25" s="14" t="n">
        <v>32.4</v>
      </c>
      <c r="E25" s="6" t="n">
        <v>199.4</v>
      </c>
      <c r="F25" s="7" t="n">
        <f aca="false">E25*6</f>
        <v>1196.4</v>
      </c>
      <c r="G25" s="7" t="n">
        <f aca="false">E25*12</f>
        <v>2392.8</v>
      </c>
      <c r="H25" s="6" t="n">
        <v>254</v>
      </c>
      <c r="I25" s="7" t="n">
        <v>139000</v>
      </c>
      <c r="J25" s="7" t="n">
        <v>4670</v>
      </c>
      <c r="K25" s="7" t="n">
        <v>4630</v>
      </c>
      <c r="L25" s="7" t="n">
        <v>434</v>
      </c>
      <c r="M25" s="6" t="n">
        <v>23.4</v>
      </c>
      <c r="N25" s="6" t="n">
        <v>4.3</v>
      </c>
      <c r="O25" s="8" t="n">
        <v>2.017</v>
      </c>
    </row>
  </sheetData>
  <autoFilter ref="A4:O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11"/>
    <col collapsed="false" customWidth="true" hidden="false" outlineLevel="0" max="14" min="13" style="0" width="10"/>
    <col collapsed="false" customWidth="true" hidden="false" outlineLevel="0" max="15" min="15" style="0" width="21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753</v>
      </c>
    </row>
    <row r="2" customFormat="false" ht="15" hidden="false" customHeight="false" outlineLevel="0" collapsed="false">
      <c r="A2" s="2" t="s">
        <v>711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754</v>
      </c>
    </row>
    <row r="5" customFormat="false" ht="15" hidden="false" customHeight="false" outlineLevel="0" collapsed="false">
      <c r="A5" s="4" t="s">
        <v>755</v>
      </c>
      <c r="B5" s="4" t="s">
        <v>756</v>
      </c>
      <c r="C5" s="14" t="n">
        <v>6</v>
      </c>
      <c r="D5" s="14" t="n">
        <v>8</v>
      </c>
      <c r="E5" s="6" t="n">
        <v>8.6</v>
      </c>
      <c r="F5" s="7" t="n">
        <f aca="false">E5*6</f>
        <v>51.6</v>
      </c>
      <c r="G5" s="7" t="n">
        <f aca="false">E5*12</f>
        <v>103.2</v>
      </c>
      <c r="H5" s="6" t="n">
        <v>11</v>
      </c>
      <c r="I5" s="7" t="n">
        <v>106</v>
      </c>
      <c r="J5" s="7" t="n">
        <v>19.4</v>
      </c>
      <c r="K5" s="7" t="n">
        <v>26.5</v>
      </c>
      <c r="L5" s="7" t="n">
        <v>6.36</v>
      </c>
      <c r="M5" s="6" t="n">
        <v>3.1</v>
      </c>
      <c r="N5" s="6" t="n">
        <v>1.33</v>
      </c>
      <c r="O5" s="8" t="n">
        <v>0.328</v>
      </c>
      <c r="P5" s="6" t="n">
        <v>1.45</v>
      </c>
    </row>
    <row r="6" customFormat="false" ht="15" hidden="false" customHeight="false" outlineLevel="0" collapsed="false">
      <c r="A6" s="9" t="s">
        <v>757</v>
      </c>
      <c r="B6" s="9" t="s">
        <v>302</v>
      </c>
      <c r="C6" s="16" t="n">
        <v>6</v>
      </c>
      <c r="D6" s="16" t="n">
        <v>8.5</v>
      </c>
      <c r="E6" s="11" t="n">
        <v>10.6</v>
      </c>
      <c r="F6" s="12" t="n">
        <f aca="false">E6*6</f>
        <v>63.6</v>
      </c>
      <c r="G6" s="12" t="n">
        <f aca="false">E6*12</f>
        <v>127.2</v>
      </c>
      <c r="H6" s="11" t="n">
        <v>13.5</v>
      </c>
      <c r="I6" s="12" t="n">
        <v>206</v>
      </c>
      <c r="J6" s="12" t="n">
        <v>29.3</v>
      </c>
      <c r="K6" s="12" t="n">
        <v>41.2</v>
      </c>
      <c r="L6" s="12" t="n">
        <v>8.49</v>
      </c>
      <c r="M6" s="11" t="n">
        <v>3.91</v>
      </c>
      <c r="N6" s="11" t="n">
        <v>1.47</v>
      </c>
      <c r="O6" s="13" t="n">
        <v>0.388</v>
      </c>
      <c r="P6" s="11" t="n">
        <v>1.55</v>
      </c>
    </row>
    <row r="7" customFormat="false" ht="15" hidden="false" customHeight="false" outlineLevel="0" collapsed="false">
      <c r="A7" s="4" t="s">
        <v>758</v>
      </c>
      <c r="B7" s="4" t="s">
        <v>759</v>
      </c>
      <c r="C7" s="14" t="n">
        <v>7</v>
      </c>
      <c r="D7" s="14" t="n">
        <v>9</v>
      </c>
      <c r="E7" s="6" t="n">
        <v>13.3</v>
      </c>
      <c r="F7" s="7" t="n">
        <f aca="false">E7*6</f>
        <v>79.8</v>
      </c>
      <c r="G7" s="7" t="n">
        <f aca="false">E7*12</f>
        <v>159.6</v>
      </c>
      <c r="H7" s="6" t="n">
        <v>17</v>
      </c>
      <c r="I7" s="7" t="n">
        <v>364</v>
      </c>
      <c r="J7" s="7" t="n">
        <v>43.2</v>
      </c>
      <c r="K7" s="7" t="n">
        <v>60.7</v>
      </c>
      <c r="L7" s="7" t="n">
        <v>11.1</v>
      </c>
      <c r="M7" s="6" t="n">
        <v>4.62</v>
      </c>
      <c r="N7" s="6" t="n">
        <v>1.59</v>
      </c>
      <c r="O7" s="8" t="n">
        <v>0.446</v>
      </c>
      <c r="P7" s="6" t="n">
        <v>1.6</v>
      </c>
    </row>
    <row r="8" customFormat="false" ht="15" hidden="false" customHeight="false" outlineLevel="0" collapsed="false">
      <c r="A8" s="9" t="s">
        <v>760</v>
      </c>
      <c r="B8" s="9" t="s">
        <v>341</v>
      </c>
      <c r="C8" s="16" t="n">
        <v>7</v>
      </c>
      <c r="D8" s="16" t="n">
        <v>10</v>
      </c>
      <c r="E8" s="11" t="n">
        <v>16</v>
      </c>
      <c r="F8" s="12" t="n">
        <f aca="false">E8*6</f>
        <v>96</v>
      </c>
      <c r="G8" s="12" t="n">
        <f aca="false">E8*12</f>
        <v>192</v>
      </c>
      <c r="H8" s="11" t="n">
        <v>20.4</v>
      </c>
      <c r="I8" s="12" t="n">
        <v>605</v>
      </c>
      <c r="J8" s="12" t="n">
        <v>62.7</v>
      </c>
      <c r="K8" s="12" t="n">
        <v>86.4</v>
      </c>
      <c r="L8" s="12" t="n">
        <v>14.8</v>
      </c>
      <c r="M8" s="11" t="n">
        <v>5.45</v>
      </c>
      <c r="N8" s="11" t="n">
        <v>1.75</v>
      </c>
      <c r="O8" s="13" t="n">
        <v>0.506</v>
      </c>
      <c r="P8" s="11" t="n">
        <v>1.75</v>
      </c>
    </row>
    <row r="9" customFormat="false" ht="15" hidden="false" customHeight="false" outlineLevel="0" collapsed="false">
      <c r="A9" s="4" t="s">
        <v>761</v>
      </c>
      <c r="B9" s="4" t="s">
        <v>762</v>
      </c>
      <c r="C9" s="14" t="n">
        <v>7.5</v>
      </c>
      <c r="D9" s="14" t="n">
        <v>10.5</v>
      </c>
      <c r="E9" s="6" t="n">
        <v>18.8</v>
      </c>
      <c r="F9" s="7" t="n">
        <f aca="false">E9*6</f>
        <v>112.8</v>
      </c>
      <c r="G9" s="7" t="n">
        <f aca="false">E9*12</f>
        <v>225.6</v>
      </c>
      <c r="H9" s="6" t="n">
        <v>24</v>
      </c>
      <c r="I9" s="7" t="n">
        <v>925</v>
      </c>
      <c r="J9" s="7" t="n">
        <v>85.3</v>
      </c>
      <c r="K9" s="7" t="n">
        <v>116</v>
      </c>
      <c r="L9" s="7" t="n">
        <v>18.3</v>
      </c>
      <c r="M9" s="6" t="n">
        <v>6.21</v>
      </c>
      <c r="N9" s="6" t="n">
        <v>1.89</v>
      </c>
      <c r="O9" s="8" t="n">
        <v>0.565</v>
      </c>
      <c r="P9" s="6" t="n">
        <v>1.84</v>
      </c>
    </row>
    <row r="10" customFormat="false" ht="15" hidden="false" customHeight="false" outlineLevel="0" collapsed="false">
      <c r="A10" s="9" t="s">
        <v>763</v>
      </c>
      <c r="B10" s="9" t="s">
        <v>764</v>
      </c>
      <c r="C10" s="16" t="n">
        <v>8</v>
      </c>
      <c r="D10" s="16" t="n">
        <v>11</v>
      </c>
      <c r="E10" s="11" t="n">
        <v>22</v>
      </c>
      <c r="F10" s="12" t="n">
        <f aca="false">E10*6</f>
        <v>132</v>
      </c>
      <c r="G10" s="12" t="n">
        <f aca="false">E10*12</f>
        <v>264</v>
      </c>
      <c r="H10" s="11" t="n">
        <v>28</v>
      </c>
      <c r="I10" s="12" t="n">
        <v>1350</v>
      </c>
      <c r="J10" s="12" t="n">
        <v>114</v>
      </c>
      <c r="K10" s="12" t="n">
        <v>150</v>
      </c>
      <c r="L10" s="12" t="n">
        <v>22.4</v>
      </c>
      <c r="M10" s="11" t="n">
        <v>6.95</v>
      </c>
      <c r="N10" s="11" t="n">
        <v>2.02</v>
      </c>
      <c r="O10" s="13" t="n">
        <v>0.624</v>
      </c>
      <c r="P10" s="11" t="n">
        <v>1.92</v>
      </c>
    </row>
    <row r="11" customFormat="false" ht="15" hidden="false" customHeight="false" outlineLevel="0" collapsed="false">
      <c r="A11" s="4" t="s">
        <v>765</v>
      </c>
      <c r="B11" s="4" t="s">
        <v>766</v>
      </c>
      <c r="C11" s="14" t="n">
        <v>8.5</v>
      </c>
      <c r="D11" s="14" t="n">
        <v>11.5</v>
      </c>
      <c r="E11" s="6" t="n">
        <v>25.3</v>
      </c>
      <c r="F11" s="7" t="n">
        <f aca="false">E11*6</f>
        <v>151.8</v>
      </c>
      <c r="G11" s="7" t="n">
        <f aca="false">E11*12</f>
        <v>303.6</v>
      </c>
      <c r="H11" s="6" t="n">
        <v>32.2</v>
      </c>
      <c r="I11" s="7" t="n">
        <v>1910</v>
      </c>
      <c r="J11" s="7" t="n">
        <v>148</v>
      </c>
      <c r="K11" s="7" t="n">
        <v>191</v>
      </c>
      <c r="L11" s="7" t="n">
        <v>27</v>
      </c>
      <c r="M11" s="6" t="n">
        <v>7.7</v>
      </c>
      <c r="N11" s="6" t="n">
        <v>2.14</v>
      </c>
      <c r="O11" s="8" t="n">
        <v>0.683</v>
      </c>
      <c r="P11" s="6" t="n">
        <v>2.01</v>
      </c>
    </row>
    <row r="12" customFormat="false" ht="15" hidden="false" customHeight="false" outlineLevel="0" collapsed="false">
      <c r="A12" s="9" t="s">
        <v>767</v>
      </c>
      <c r="B12" s="9" t="s">
        <v>768</v>
      </c>
      <c r="C12" s="16" t="n">
        <v>9</v>
      </c>
      <c r="D12" s="16" t="n">
        <v>12.5</v>
      </c>
      <c r="E12" s="11" t="n">
        <v>29.4</v>
      </c>
      <c r="F12" s="12" t="n">
        <f aca="false">E12*6</f>
        <v>176.4</v>
      </c>
      <c r="G12" s="12" t="n">
        <f aca="false">E12*12</f>
        <v>352.8</v>
      </c>
      <c r="H12" s="11" t="n">
        <v>37.4</v>
      </c>
      <c r="I12" s="12" t="n">
        <v>2690</v>
      </c>
      <c r="J12" s="12" t="n">
        <v>197</v>
      </c>
      <c r="K12" s="12" t="n">
        <v>245</v>
      </c>
      <c r="L12" s="12" t="n">
        <v>33.6</v>
      </c>
      <c r="M12" s="11" t="n">
        <v>8.48</v>
      </c>
      <c r="N12" s="11" t="n">
        <v>2.3</v>
      </c>
      <c r="O12" s="13" t="n">
        <v>0.742</v>
      </c>
      <c r="P12" s="11" t="n">
        <v>2.14</v>
      </c>
    </row>
    <row r="13" customFormat="false" ht="15" hidden="false" customHeight="false" outlineLevel="0" collapsed="false">
      <c r="A13" s="4" t="s">
        <v>769</v>
      </c>
      <c r="B13" s="4" t="s">
        <v>770</v>
      </c>
      <c r="C13" s="14" t="n">
        <v>9.5</v>
      </c>
      <c r="D13" s="14" t="n">
        <v>13</v>
      </c>
      <c r="E13" s="6" t="n">
        <v>33.2</v>
      </c>
      <c r="F13" s="7" t="n">
        <f aca="false">E13*6</f>
        <v>199.2</v>
      </c>
      <c r="G13" s="7" t="n">
        <f aca="false">E13*12</f>
        <v>398.4</v>
      </c>
      <c r="H13" s="6" t="n">
        <v>42.3</v>
      </c>
      <c r="I13" s="7" t="n">
        <v>3600</v>
      </c>
      <c r="J13" s="7" t="n">
        <v>248</v>
      </c>
      <c r="K13" s="7" t="n">
        <v>300</v>
      </c>
      <c r="L13" s="7" t="n">
        <v>39.6</v>
      </c>
      <c r="M13" s="6" t="n">
        <v>9.22</v>
      </c>
      <c r="N13" s="6" t="n">
        <v>2.42</v>
      </c>
      <c r="O13" s="8" t="n">
        <v>0.801</v>
      </c>
      <c r="P13" s="6" t="n">
        <v>2.23</v>
      </c>
    </row>
    <row r="14" customFormat="false" ht="15" hidden="false" customHeight="false" outlineLevel="0" collapsed="false">
      <c r="A14" s="9" t="s">
        <v>771</v>
      </c>
      <c r="B14" s="9" t="s">
        <v>772</v>
      </c>
      <c r="C14" s="16" t="n">
        <v>10</v>
      </c>
      <c r="D14" s="16" t="n">
        <v>14</v>
      </c>
      <c r="E14" s="11" t="n">
        <v>37.9</v>
      </c>
      <c r="F14" s="12" t="n">
        <f aca="false">E14*6</f>
        <v>227.4</v>
      </c>
      <c r="G14" s="12" t="n">
        <f aca="false">E14*12</f>
        <v>454.8</v>
      </c>
      <c r="H14" s="11" t="n">
        <v>48.3</v>
      </c>
      <c r="I14" s="12" t="n">
        <v>4820</v>
      </c>
      <c r="J14" s="12" t="n">
        <v>317</v>
      </c>
      <c r="K14" s="12" t="n">
        <v>371</v>
      </c>
      <c r="L14" s="12" t="n">
        <v>47.7</v>
      </c>
      <c r="M14" s="11" t="n">
        <v>9.99</v>
      </c>
      <c r="N14" s="11" t="n">
        <v>2.56</v>
      </c>
      <c r="O14" s="13" t="n">
        <v>0.86</v>
      </c>
      <c r="P14" s="11" t="n">
        <v>2.36</v>
      </c>
    </row>
    <row r="15" customFormat="false" ht="15" hidden="false" customHeight="false" outlineLevel="0" collapsed="false">
      <c r="A15" s="4" t="s">
        <v>773</v>
      </c>
      <c r="B15" s="4" t="s">
        <v>774</v>
      </c>
      <c r="C15" s="14" t="n">
        <v>10</v>
      </c>
      <c r="D15" s="14" t="n">
        <v>15</v>
      </c>
      <c r="E15" s="6" t="n">
        <v>41.8</v>
      </c>
      <c r="F15" s="7" t="n">
        <f aca="false">E15*6</f>
        <v>250.8</v>
      </c>
      <c r="G15" s="7" t="n">
        <f aca="false">E15*12</f>
        <v>501.6</v>
      </c>
      <c r="H15" s="6" t="n">
        <v>53.3</v>
      </c>
      <c r="I15" s="7" t="n">
        <v>6280</v>
      </c>
      <c r="J15" s="7" t="n">
        <v>399</v>
      </c>
      <c r="K15" s="7" t="n">
        <v>448</v>
      </c>
      <c r="L15" s="7" t="n">
        <v>57.2</v>
      </c>
      <c r="M15" s="6" t="n">
        <v>10.9</v>
      </c>
      <c r="N15" s="6" t="n">
        <v>2.74</v>
      </c>
      <c r="O15" s="8" t="n">
        <v>0.92</v>
      </c>
      <c r="P15" s="6" t="n">
        <v>2.53</v>
      </c>
    </row>
    <row r="16" customFormat="false" ht="15" hidden="false" customHeight="false" outlineLevel="0" collapsed="false">
      <c r="A16" s="9" t="s">
        <v>775</v>
      </c>
      <c r="B16" s="9" t="s">
        <v>401</v>
      </c>
      <c r="C16" s="16" t="n">
        <v>10</v>
      </c>
      <c r="D16" s="16" t="n">
        <v>16</v>
      </c>
      <c r="E16" s="11" t="n">
        <v>46.2</v>
      </c>
      <c r="F16" s="12" t="n">
        <f aca="false">E16*6</f>
        <v>277.2</v>
      </c>
      <c r="G16" s="12" t="n">
        <f aca="false">E16*12</f>
        <v>554.4</v>
      </c>
      <c r="H16" s="11" t="n">
        <v>58.8</v>
      </c>
      <c r="I16" s="12" t="n">
        <v>8030</v>
      </c>
      <c r="J16" s="12" t="n">
        <v>495</v>
      </c>
      <c r="K16" s="12" t="n">
        <v>535</v>
      </c>
      <c r="L16" s="12" t="n">
        <v>67.8</v>
      </c>
      <c r="M16" s="11" t="n">
        <v>11.7</v>
      </c>
      <c r="N16" s="11" t="n">
        <v>2.9</v>
      </c>
      <c r="O16" s="13" t="n">
        <v>0.98</v>
      </c>
      <c r="P16" s="11" t="n">
        <v>2.7</v>
      </c>
    </row>
    <row r="17" customFormat="false" ht="15" hidden="false" customHeight="false" outlineLevel="0" collapsed="false">
      <c r="A17" s="4" t="s">
        <v>776</v>
      </c>
      <c r="B17" s="4" t="s">
        <v>777</v>
      </c>
      <c r="C17" s="14" t="n">
        <v>14</v>
      </c>
      <c r="D17" s="14" t="n">
        <v>17.5</v>
      </c>
      <c r="E17" s="6" t="n">
        <v>59.5</v>
      </c>
      <c r="F17" s="7" t="n">
        <f aca="false">E17*6</f>
        <v>357</v>
      </c>
      <c r="G17" s="7" t="n">
        <f aca="false">E17*12</f>
        <v>714</v>
      </c>
      <c r="H17" s="6" t="n">
        <v>75.8</v>
      </c>
      <c r="I17" s="7" t="n">
        <v>10870</v>
      </c>
      <c r="J17" s="7" t="n">
        <v>597</v>
      </c>
      <c r="K17" s="7" t="n">
        <v>679</v>
      </c>
      <c r="L17" s="7" t="n">
        <v>80.6</v>
      </c>
      <c r="M17" s="6" t="n">
        <v>12.1</v>
      </c>
      <c r="N17" s="6" t="n">
        <v>2.81</v>
      </c>
      <c r="O17" s="8" t="n">
        <v>1.012</v>
      </c>
      <c r="P17" s="6" t="n">
        <v>2.6</v>
      </c>
    </row>
    <row r="18" customFormat="false" ht="15" hidden="false" customHeight="false" outlineLevel="0" collapsed="false">
      <c r="A18" s="9" t="s">
        <v>778</v>
      </c>
      <c r="B18" s="9" t="s">
        <v>779</v>
      </c>
      <c r="C18" s="16" t="n">
        <v>14</v>
      </c>
      <c r="D18" s="16" t="n">
        <v>16</v>
      </c>
      <c r="E18" s="11" t="n">
        <v>60.7</v>
      </c>
      <c r="F18" s="12" t="n">
        <f aca="false">E18*6</f>
        <v>364.2</v>
      </c>
      <c r="G18" s="12" t="n">
        <f aca="false">E18*12</f>
        <v>728.4</v>
      </c>
      <c r="H18" s="11" t="n">
        <v>77.3</v>
      </c>
      <c r="I18" s="12" t="n">
        <v>12840</v>
      </c>
      <c r="J18" s="12" t="n">
        <v>570</v>
      </c>
      <c r="K18" s="12" t="n">
        <v>734</v>
      </c>
      <c r="L18" s="12" t="n">
        <v>75</v>
      </c>
      <c r="M18" s="11" t="n">
        <v>12.9</v>
      </c>
      <c r="N18" s="11" t="n">
        <v>2.72</v>
      </c>
      <c r="O18" s="13" t="n">
        <v>1.072</v>
      </c>
      <c r="P18" s="11" t="n">
        <v>2.4</v>
      </c>
    </row>
    <row r="19" customFormat="false" ht="15" hidden="false" customHeight="false" outlineLevel="0" collapsed="false">
      <c r="A19" s="4" t="s">
        <v>780</v>
      </c>
      <c r="B19" s="4" t="s">
        <v>781</v>
      </c>
      <c r="C19" s="14" t="n">
        <v>13.5</v>
      </c>
      <c r="D19" s="14" t="n">
        <v>16</v>
      </c>
      <c r="E19" s="6" t="n">
        <v>63.1</v>
      </c>
      <c r="F19" s="7" t="n">
        <f aca="false">E19*6</f>
        <v>378.6</v>
      </c>
      <c r="G19" s="7" t="n">
        <f aca="false">E19*12</f>
        <v>757.2</v>
      </c>
      <c r="H19" s="6" t="n">
        <v>80.4</v>
      </c>
      <c r="I19" s="7" t="n">
        <v>15760</v>
      </c>
      <c r="J19" s="7" t="n">
        <v>615</v>
      </c>
      <c r="K19" s="7" t="n">
        <v>829</v>
      </c>
      <c r="L19" s="7" t="n">
        <v>78.7</v>
      </c>
      <c r="M19" s="6" t="n">
        <v>14</v>
      </c>
      <c r="N19" s="6" t="n">
        <v>2.77</v>
      </c>
      <c r="O19" s="8" t="n">
        <v>1.141</v>
      </c>
      <c r="P19" s="6" t="n">
        <v>2.38</v>
      </c>
    </row>
    <row r="20" customFormat="false" ht="15" hidden="false" customHeight="false" outlineLevel="0" collapsed="false">
      <c r="A20" s="9" t="s">
        <v>782</v>
      </c>
      <c r="B20" s="9" t="s">
        <v>783</v>
      </c>
      <c r="C20" s="16" t="n">
        <v>14</v>
      </c>
      <c r="D20" s="16" t="n">
        <v>18</v>
      </c>
      <c r="E20" s="11" t="n">
        <v>71.8</v>
      </c>
      <c r="F20" s="12" t="n">
        <f aca="false">E20*6</f>
        <v>430.8</v>
      </c>
      <c r="G20" s="12" t="n">
        <f aca="false">E20*12</f>
        <v>861.6</v>
      </c>
      <c r="H20" s="11" t="n">
        <v>91.5</v>
      </c>
      <c r="I20" s="12" t="n">
        <v>20350</v>
      </c>
      <c r="J20" s="12" t="n">
        <v>846</v>
      </c>
      <c r="K20" s="12" t="n">
        <v>1020</v>
      </c>
      <c r="L20" s="12" t="n">
        <v>102</v>
      </c>
      <c r="M20" s="11" t="n">
        <v>14.9</v>
      </c>
      <c r="N20" s="11" t="n">
        <v>3.04</v>
      </c>
      <c r="O20" s="13" t="n">
        <v>1.212</v>
      </c>
      <c r="P20" s="11" t="n">
        <v>2.65</v>
      </c>
    </row>
  </sheetData>
  <autoFilter ref="A4:P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11"/>
    <col collapsed="false" customWidth="true" hidden="false" outlineLevel="0" max="14" min="13" style="0" width="10"/>
    <col collapsed="false" customWidth="true" hidden="false" outlineLevel="0" max="15" min="15" style="0" width="21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784</v>
      </c>
    </row>
    <row r="2" customFormat="false" ht="15" hidden="false" customHeight="false" outlineLevel="0" collapsed="false">
      <c r="A2" s="2" t="s">
        <v>785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534</v>
      </c>
      <c r="D4" s="3" t="s">
        <v>535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754</v>
      </c>
    </row>
    <row r="5" customFormat="false" ht="15" hidden="false" customHeight="false" outlineLevel="0" collapsed="false">
      <c r="A5" s="4" t="s">
        <v>786</v>
      </c>
      <c r="B5" s="4" t="s">
        <v>787</v>
      </c>
      <c r="C5" s="14" t="n">
        <v>4</v>
      </c>
      <c r="D5" s="14" t="n">
        <v>7</v>
      </c>
      <c r="E5" s="6" t="n">
        <v>7.9</v>
      </c>
      <c r="F5" s="7" t="n">
        <f aca="false">E5*6</f>
        <v>47.4</v>
      </c>
      <c r="G5" s="7" t="n">
        <f aca="false">E5*12</f>
        <v>94.8</v>
      </c>
      <c r="H5" s="6" t="n">
        <v>10.07</v>
      </c>
      <c r="I5" s="7" t="n">
        <v>107.2</v>
      </c>
      <c r="J5" s="7" t="n">
        <v>25.4</v>
      </c>
      <c r="K5" s="7" t="n">
        <v>26.8</v>
      </c>
      <c r="L5" s="7" t="n">
        <v>8</v>
      </c>
      <c r="M5" s="6" t="n">
        <v>3.26</v>
      </c>
      <c r="N5" s="6" t="n">
        <v>1.59</v>
      </c>
      <c r="O5" s="8" t="n">
        <v>0.343</v>
      </c>
      <c r="P5" s="6" t="n">
        <v>1.82</v>
      </c>
    </row>
    <row r="6" customFormat="false" ht="15" hidden="false" customHeight="false" outlineLevel="0" collapsed="false">
      <c r="A6" s="9" t="s">
        <v>788</v>
      </c>
      <c r="B6" s="9" t="s">
        <v>540</v>
      </c>
      <c r="C6" s="16" t="n">
        <v>4.5</v>
      </c>
      <c r="D6" s="16" t="n">
        <v>7.5</v>
      </c>
      <c r="E6" s="11" t="n">
        <v>9.8</v>
      </c>
      <c r="F6" s="12" t="n">
        <f aca="false">E6*6</f>
        <v>58.8</v>
      </c>
      <c r="G6" s="12" t="n">
        <f aca="false">E6*12</f>
        <v>117.6</v>
      </c>
      <c r="H6" s="11" t="n">
        <v>12.51</v>
      </c>
      <c r="I6" s="12" t="n">
        <v>206.9</v>
      </c>
      <c r="J6" s="12" t="n">
        <v>38.2</v>
      </c>
      <c r="K6" s="12" t="n">
        <v>41.4</v>
      </c>
      <c r="L6" s="12" t="n">
        <v>10.6</v>
      </c>
      <c r="M6" s="11" t="n">
        <v>4.07</v>
      </c>
      <c r="N6" s="11" t="n">
        <v>1.75</v>
      </c>
      <c r="O6" s="13" t="n">
        <v>0.402</v>
      </c>
      <c r="P6" s="11" t="n">
        <v>1.91</v>
      </c>
    </row>
    <row r="7" customFormat="false" ht="15" hidden="false" customHeight="false" outlineLevel="0" collapsed="false">
      <c r="A7" s="4" t="s">
        <v>789</v>
      </c>
      <c r="B7" s="4" t="s">
        <v>329</v>
      </c>
      <c r="C7" s="14" t="n">
        <v>5</v>
      </c>
      <c r="D7" s="14" t="n">
        <v>8</v>
      </c>
      <c r="E7" s="6" t="n">
        <v>12.1</v>
      </c>
      <c r="F7" s="7" t="n">
        <f aca="false">E7*6</f>
        <v>72.6</v>
      </c>
      <c r="G7" s="7" t="n">
        <f aca="false">E7*12</f>
        <v>145.2</v>
      </c>
      <c r="H7" s="6" t="n">
        <v>15.42</v>
      </c>
      <c r="I7" s="7" t="n">
        <v>363.5</v>
      </c>
      <c r="J7" s="7" t="n">
        <v>55.4</v>
      </c>
      <c r="K7" s="7" t="n">
        <v>60.6</v>
      </c>
      <c r="L7" s="7" t="n">
        <v>13.8</v>
      </c>
      <c r="M7" s="6" t="n">
        <v>4.86</v>
      </c>
      <c r="N7" s="6" t="n">
        <v>1.9</v>
      </c>
      <c r="O7" s="8" t="n">
        <v>0.46</v>
      </c>
      <c r="P7" s="6" t="n">
        <v>1.98</v>
      </c>
    </row>
    <row r="8" customFormat="false" ht="15" hidden="false" customHeight="false" outlineLevel="0" collapsed="false">
      <c r="A8" s="9" t="s">
        <v>790</v>
      </c>
      <c r="B8" s="9" t="s">
        <v>791</v>
      </c>
      <c r="C8" s="16" t="n">
        <v>5</v>
      </c>
      <c r="D8" s="16" t="n">
        <v>9</v>
      </c>
      <c r="E8" s="11" t="n">
        <v>14.5</v>
      </c>
      <c r="F8" s="12" t="n">
        <f aca="false">E8*6</f>
        <v>87</v>
      </c>
      <c r="G8" s="12" t="n">
        <f aca="false">E8*12</f>
        <v>174</v>
      </c>
      <c r="H8" s="11" t="n">
        <v>18.42</v>
      </c>
      <c r="I8" s="12" t="n">
        <v>599.5</v>
      </c>
      <c r="J8" s="12" t="n">
        <v>78.7</v>
      </c>
      <c r="K8" s="12" t="n">
        <v>85.6</v>
      </c>
      <c r="L8" s="12" t="n">
        <v>18.2</v>
      </c>
      <c r="M8" s="11" t="n">
        <v>5.71</v>
      </c>
      <c r="N8" s="11" t="n">
        <v>2.07</v>
      </c>
      <c r="O8" s="13" t="n">
        <v>0.52</v>
      </c>
      <c r="P8" s="11" t="n">
        <v>2.17</v>
      </c>
    </row>
    <row r="9" customFormat="false" ht="15" hidden="false" customHeight="false" outlineLevel="0" collapsed="false">
      <c r="A9" s="4" t="s">
        <v>792</v>
      </c>
      <c r="B9" s="4" t="s">
        <v>793</v>
      </c>
      <c r="C9" s="14" t="n">
        <v>5.5</v>
      </c>
      <c r="D9" s="14" t="n">
        <v>9.5</v>
      </c>
      <c r="E9" s="6" t="n">
        <v>17</v>
      </c>
      <c r="F9" s="7" t="n">
        <f aca="false">E9*6</f>
        <v>102</v>
      </c>
      <c r="G9" s="7" t="n">
        <f aca="false">E9*12</f>
        <v>204</v>
      </c>
      <c r="H9" s="6" t="n">
        <v>21.67</v>
      </c>
      <c r="I9" s="7" t="n">
        <v>911.1</v>
      </c>
      <c r="J9" s="7" t="n">
        <v>106.8</v>
      </c>
      <c r="K9" s="7" t="n">
        <v>113.9</v>
      </c>
      <c r="L9" s="7" t="n">
        <v>22.6</v>
      </c>
      <c r="M9" s="6" t="n">
        <v>6.48</v>
      </c>
      <c r="N9" s="6" t="n">
        <v>2.22</v>
      </c>
      <c r="O9" s="8" t="n">
        <v>0.579</v>
      </c>
      <c r="P9" s="6" t="n">
        <v>2.27</v>
      </c>
    </row>
    <row r="10" customFormat="false" ht="15" hidden="false" customHeight="false" outlineLevel="0" collapsed="false">
      <c r="A10" s="9" t="s">
        <v>794</v>
      </c>
      <c r="B10" s="9" t="s">
        <v>795</v>
      </c>
      <c r="C10" s="16" t="n">
        <v>5.5</v>
      </c>
      <c r="D10" s="16" t="n">
        <v>10.5</v>
      </c>
      <c r="E10" s="11" t="n">
        <v>19.7</v>
      </c>
      <c r="F10" s="12" t="n">
        <f aca="false">E10*6</f>
        <v>118.2</v>
      </c>
      <c r="G10" s="12" t="n">
        <f aca="false">E10*12</f>
        <v>236.4</v>
      </c>
      <c r="H10" s="11" t="n">
        <v>25.11</v>
      </c>
      <c r="I10" s="12" t="n">
        <v>1353.5</v>
      </c>
      <c r="J10" s="12" t="n">
        <v>143.7</v>
      </c>
      <c r="K10" s="12" t="n">
        <v>150.4</v>
      </c>
      <c r="L10" s="12" t="n">
        <v>28.6</v>
      </c>
      <c r="M10" s="11" t="n">
        <v>7.34</v>
      </c>
      <c r="N10" s="11" t="n">
        <v>2.39</v>
      </c>
      <c r="O10" s="13" t="n">
        <v>0.639</v>
      </c>
      <c r="P10" s="11" t="n">
        <v>2.47</v>
      </c>
    </row>
    <row r="11" customFormat="false" ht="15" hidden="false" customHeight="false" outlineLevel="0" collapsed="false">
      <c r="A11" s="4" t="s">
        <v>796</v>
      </c>
      <c r="B11" s="4" t="s">
        <v>797</v>
      </c>
      <c r="C11" s="14" t="n">
        <v>6</v>
      </c>
      <c r="D11" s="14" t="n">
        <v>11</v>
      </c>
      <c r="E11" s="6" t="n">
        <v>22.8</v>
      </c>
      <c r="F11" s="7" t="n">
        <f aca="false">E11*6</f>
        <v>136.8</v>
      </c>
      <c r="G11" s="7" t="n">
        <f aca="false">E11*12</f>
        <v>273.6</v>
      </c>
      <c r="H11" s="6" t="n">
        <v>29.01</v>
      </c>
      <c r="I11" s="7" t="n">
        <v>1909.4</v>
      </c>
      <c r="J11" s="7" t="n">
        <v>187.3</v>
      </c>
      <c r="K11" s="7" t="n">
        <v>190.9</v>
      </c>
      <c r="L11" s="7" t="n">
        <v>34.4</v>
      </c>
      <c r="M11" s="6" t="n">
        <v>8.11</v>
      </c>
      <c r="N11" s="6" t="n">
        <v>2.54</v>
      </c>
      <c r="O11" s="8" t="n">
        <v>0.697</v>
      </c>
      <c r="P11" s="6" t="n">
        <v>2.56</v>
      </c>
    </row>
    <row r="12" customFormat="false" ht="15" hidden="false" customHeight="false" outlineLevel="0" collapsed="false">
      <c r="A12" s="9" t="s">
        <v>798</v>
      </c>
      <c r="B12" s="9" t="s">
        <v>799</v>
      </c>
      <c r="C12" s="16" t="n">
        <v>6.5</v>
      </c>
      <c r="D12" s="16" t="n">
        <v>12</v>
      </c>
      <c r="E12" s="11" t="n">
        <v>26.6</v>
      </c>
      <c r="F12" s="12" t="n">
        <f aca="false">E12*6</f>
        <v>159.6</v>
      </c>
      <c r="G12" s="12" t="n">
        <f aca="false">E12*12</f>
        <v>319.2</v>
      </c>
      <c r="H12" s="11" t="n">
        <v>33.87</v>
      </c>
      <c r="I12" s="12" t="n">
        <v>2682.6</v>
      </c>
      <c r="J12" s="12" t="n">
        <v>246.4</v>
      </c>
      <c r="K12" s="12" t="n">
        <v>243.9</v>
      </c>
      <c r="L12" s="12" t="n">
        <v>42.5</v>
      </c>
      <c r="M12" s="11" t="n">
        <v>8.9</v>
      </c>
      <c r="N12" s="11" t="n">
        <v>2.7</v>
      </c>
      <c r="O12" s="13" t="n">
        <v>0.756</v>
      </c>
      <c r="P12" s="11" t="n">
        <v>2.7</v>
      </c>
    </row>
    <row r="13" customFormat="false" ht="15" hidden="false" customHeight="false" outlineLevel="0" collapsed="false">
      <c r="A13" s="4" t="s">
        <v>800</v>
      </c>
      <c r="B13" s="4" t="s">
        <v>801</v>
      </c>
      <c r="C13" s="14" t="n">
        <v>7</v>
      </c>
      <c r="D13" s="14" t="n">
        <v>12.5</v>
      </c>
      <c r="E13" s="6" t="n">
        <v>30.2</v>
      </c>
      <c r="F13" s="7" t="n">
        <f aca="false">E13*6</f>
        <v>181.2</v>
      </c>
      <c r="G13" s="7" t="n">
        <f aca="false">E13*12</f>
        <v>362.4</v>
      </c>
      <c r="H13" s="6" t="n">
        <v>38.52</v>
      </c>
      <c r="I13" s="7" t="n">
        <v>3599</v>
      </c>
      <c r="J13" s="7" t="n">
        <v>310.9</v>
      </c>
      <c r="K13" s="7" t="n">
        <v>299.9</v>
      </c>
      <c r="L13" s="7" t="n">
        <v>50.1</v>
      </c>
      <c r="M13" s="6" t="n">
        <v>9.67</v>
      </c>
      <c r="N13" s="6" t="n">
        <v>2.84</v>
      </c>
      <c r="O13" s="8" t="n">
        <v>0.813</v>
      </c>
      <c r="P13" s="6" t="n">
        <v>2.79</v>
      </c>
    </row>
    <row r="14" customFormat="false" ht="15" hidden="false" customHeight="false" outlineLevel="0" collapsed="false">
      <c r="A14" s="9" t="s">
        <v>802</v>
      </c>
      <c r="B14" s="9" t="s">
        <v>803</v>
      </c>
      <c r="C14" s="16" t="n">
        <v>7.5</v>
      </c>
      <c r="D14" s="16" t="n">
        <v>13.5</v>
      </c>
      <c r="E14" s="11" t="n">
        <v>35.2</v>
      </c>
      <c r="F14" s="12" t="n">
        <f aca="false">E14*6</f>
        <v>211.2</v>
      </c>
      <c r="G14" s="12" t="n">
        <f aca="false">E14*12</f>
        <v>422.4</v>
      </c>
      <c r="H14" s="11" t="n">
        <v>44.84</v>
      </c>
      <c r="I14" s="12" t="n">
        <v>5254.9</v>
      </c>
      <c r="J14" s="12" t="n">
        <v>401</v>
      </c>
      <c r="K14" s="12" t="n">
        <v>389.2</v>
      </c>
      <c r="L14" s="12" t="n">
        <v>60.7</v>
      </c>
      <c r="M14" s="11" t="n">
        <v>10.83</v>
      </c>
      <c r="N14" s="11" t="n">
        <v>2.99</v>
      </c>
      <c r="O14" s="13" t="n">
        <v>0.892</v>
      </c>
      <c r="P14" s="11" t="n">
        <v>2.89</v>
      </c>
    </row>
    <row r="15" customFormat="false" ht="15" hidden="false" customHeight="false" outlineLevel="0" collapsed="false">
      <c r="A15" s="4" t="s">
        <v>804</v>
      </c>
      <c r="B15" s="4" t="s">
        <v>401</v>
      </c>
      <c r="C15" s="14" t="n">
        <v>9.5</v>
      </c>
      <c r="D15" s="14" t="n">
        <v>15</v>
      </c>
      <c r="E15" s="6" t="n">
        <v>44.4</v>
      </c>
      <c r="F15" s="7" t="n">
        <f aca="false">E15*6</f>
        <v>266.4</v>
      </c>
      <c r="G15" s="7" t="n">
        <f aca="false">E15*12</f>
        <v>532.8</v>
      </c>
      <c r="H15" s="6" t="n">
        <v>56.62</v>
      </c>
      <c r="I15" s="7" t="n">
        <v>7823.6</v>
      </c>
      <c r="J15" s="7" t="n">
        <v>537.7</v>
      </c>
      <c r="K15" s="7" t="n">
        <v>521.6</v>
      </c>
      <c r="L15" s="7" t="n">
        <v>75.6</v>
      </c>
      <c r="M15" s="6" t="n">
        <v>11.76</v>
      </c>
      <c r="N15" s="6" t="n">
        <v>3.08</v>
      </c>
      <c r="O15" s="8" t="n">
        <v>0.968</v>
      </c>
      <c r="P15" s="6" t="n">
        <v>2.89</v>
      </c>
    </row>
    <row r="16" customFormat="false" ht="15" hidden="false" customHeight="false" outlineLevel="0" collapsed="false">
      <c r="A16" s="9" t="s">
        <v>805</v>
      </c>
      <c r="B16" s="9" t="s">
        <v>806</v>
      </c>
      <c r="C16" s="16" t="n">
        <v>11</v>
      </c>
      <c r="D16" s="16" t="n">
        <v>16</v>
      </c>
      <c r="E16" s="11" t="n">
        <v>53.2</v>
      </c>
      <c r="F16" s="12" t="n">
        <f aca="false">E16*6</f>
        <v>319.2</v>
      </c>
      <c r="G16" s="12" t="n">
        <f aca="false">E16*12</f>
        <v>638.4</v>
      </c>
      <c r="H16" s="11" t="n">
        <v>67.77</v>
      </c>
      <c r="I16" s="12" t="n">
        <v>11008.3</v>
      </c>
      <c r="J16" s="12" t="n">
        <v>681.5</v>
      </c>
      <c r="K16" s="12" t="n">
        <v>667.2</v>
      </c>
      <c r="L16" s="12" t="n">
        <v>89.7</v>
      </c>
      <c r="M16" s="11" t="n">
        <v>12.74</v>
      </c>
      <c r="N16" s="11" t="n">
        <v>3.17</v>
      </c>
      <c r="O16" s="13" t="n">
        <v>1.043</v>
      </c>
      <c r="P16" s="11" t="n">
        <v>2.9</v>
      </c>
    </row>
    <row r="17" customFormat="false" ht="15" hidden="false" customHeight="false" outlineLevel="0" collapsed="false">
      <c r="A17" s="4" t="s">
        <v>807</v>
      </c>
      <c r="B17" s="4" t="s">
        <v>808</v>
      </c>
      <c r="C17" s="14" t="n">
        <v>12</v>
      </c>
      <c r="D17" s="14" t="n">
        <v>17</v>
      </c>
      <c r="E17" s="6" t="n">
        <v>61.2</v>
      </c>
      <c r="F17" s="7" t="n">
        <f aca="false">E17*6</f>
        <v>367.2</v>
      </c>
      <c r="G17" s="7" t="n">
        <f aca="false">E17*12</f>
        <v>734.4</v>
      </c>
      <c r="H17" s="6" t="n">
        <v>77.91</v>
      </c>
      <c r="I17" s="7" t="n">
        <v>14826.3</v>
      </c>
      <c r="J17" s="7" t="n">
        <v>843.7</v>
      </c>
      <c r="K17" s="7" t="n">
        <v>823.7</v>
      </c>
      <c r="L17" s="7" t="n">
        <v>105.1</v>
      </c>
      <c r="M17" s="6" t="n">
        <v>13.79</v>
      </c>
      <c r="N17" s="6" t="n">
        <v>3.29</v>
      </c>
      <c r="O17" s="8" t="n">
        <v>1.121</v>
      </c>
      <c r="P17" s="6" t="n">
        <v>2.97</v>
      </c>
    </row>
    <row r="18" customFormat="false" ht="15" hidden="false" customHeight="false" outlineLevel="0" collapsed="false">
      <c r="A18" s="9" t="s">
        <v>809</v>
      </c>
      <c r="B18" s="9" t="s">
        <v>810</v>
      </c>
      <c r="C18" s="16" t="n">
        <v>13.5</v>
      </c>
      <c r="D18" s="16" t="n">
        <v>18</v>
      </c>
      <c r="E18" s="11" t="n">
        <v>72.2</v>
      </c>
      <c r="F18" s="12" t="n">
        <f aca="false">E18*6</f>
        <v>433.2</v>
      </c>
      <c r="G18" s="12" t="n">
        <f aca="false">E18*12</f>
        <v>866.4</v>
      </c>
      <c r="H18" s="11" t="n">
        <v>91.93</v>
      </c>
      <c r="I18" s="12" t="n">
        <v>20981.8</v>
      </c>
      <c r="J18" s="12" t="n">
        <v>1044.7</v>
      </c>
      <c r="K18" s="12" t="n">
        <v>1049.1</v>
      </c>
      <c r="L18" s="12" t="n">
        <v>122.6</v>
      </c>
      <c r="M18" s="11" t="n">
        <v>15.11</v>
      </c>
      <c r="N18" s="11" t="n">
        <v>3.37</v>
      </c>
      <c r="O18" s="13" t="n">
        <v>1.218</v>
      </c>
      <c r="P18" s="11" t="n">
        <v>2.98</v>
      </c>
    </row>
  </sheetData>
  <autoFilter ref="A4:P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2" min="9" style="0" width="11"/>
    <col collapsed="false" customWidth="true" hidden="false" outlineLevel="0" max="14" min="13" style="0" width="10"/>
    <col collapsed="false" customWidth="true" hidden="false" outlineLevel="0" max="15" min="15" style="0" width="17"/>
    <col collapsed="false" customWidth="true" hidden="false" outlineLevel="0" max="17" min="16" style="0" width="10"/>
    <col collapsed="false" customWidth="true" hidden="false" outlineLevel="0" max="18" min="18" style="0" width="21"/>
  </cols>
  <sheetData>
    <row r="1" customFormat="false" ht="17.35" hidden="false" customHeight="false" outlineLevel="0" collapsed="false">
      <c r="A1" s="1" t="s">
        <v>811</v>
      </c>
    </row>
    <row r="2" customFormat="false" ht="15" hidden="false" customHeight="false" outlineLevel="0" collapsed="false">
      <c r="A2" s="2" t="s">
        <v>812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813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814</v>
      </c>
      <c r="P4" s="3" t="s">
        <v>815</v>
      </c>
      <c r="Q4" s="3" t="s">
        <v>816</v>
      </c>
      <c r="R4" s="3" t="s">
        <v>16</v>
      </c>
    </row>
    <row r="5" customFormat="false" ht="15" hidden="false" customHeight="false" outlineLevel="0" collapsed="false">
      <c r="A5" s="4" t="s">
        <v>817</v>
      </c>
      <c r="B5" s="4" t="s">
        <v>818</v>
      </c>
      <c r="C5" s="4" t="s">
        <v>23</v>
      </c>
      <c r="D5" s="5" t="n">
        <v>3</v>
      </c>
      <c r="E5" s="6" t="n">
        <v>0.88</v>
      </c>
      <c r="F5" s="7" t="n">
        <f aca="false">E5*6</f>
        <v>5.28</v>
      </c>
      <c r="G5" s="7" t="n">
        <f aca="false">E5*12</f>
        <v>10.56</v>
      </c>
      <c r="H5" s="6" t="n">
        <v>1.12</v>
      </c>
      <c r="I5" s="6" t="n">
        <v>0.39</v>
      </c>
      <c r="J5" s="6" t="n">
        <v>0.39</v>
      </c>
      <c r="K5" s="6" t="n">
        <v>0.28</v>
      </c>
      <c r="L5" s="6" t="n">
        <v>0.28</v>
      </c>
      <c r="M5" s="6" t="n">
        <v>0.59</v>
      </c>
      <c r="N5" s="6" t="n">
        <v>0.59</v>
      </c>
      <c r="O5" s="6" t="n">
        <v>0.38</v>
      </c>
      <c r="P5" s="6" t="n">
        <v>0.6</v>
      </c>
      <c r="Q5" s="6" t="n">
        <v>0.6</v>
      </c>
      <c r="R5" s="8" t="n">
        <v>0.08</v>
      </c>
    </row>
    <row r="6" customFormat="false" ht="15" hidden="false" customHeight="false" outlineLevel="0" collapsed="false">
      <c r="A6" s="9" t="s">
        <v>819</v>
      </c>
      <c r="B6" s="9" t="s">
        <v>818</v>
      </c>
      <c r="C6" s="9" t="s">
        <v>23</v>
      </c>
      <c r="D6" s="10" t="n">
        <v>4</v>
      </c>
      <c r="E6" s="11" t="n">
        <v>1.14</v>
      </c>
      <c r="F6" s="12" t="n">
        <f aca="false">E6*6</f>
        <v>6.84</v>
      </c>
      <c r="G6" s="12" t="n">
        <f aca="false">E6*12</f>
        <v>13.68</v>
      </c>
      <c r="H6" s="11" t="n">
        <v>1.45</v>
      </c>
      <c r="I6" s="11" t="n">
        <v>0.49</v>
      </c>
      <c r="J6" s="11" t="n">
        <v>0.49</v>
      </c>
      <c r="K6" s="11" t="n">
        <v>0.36</v>
      </c>
      <c r="L6" s="11" t="n">
        <v>0.36</v>
      </c>
      <c r="M6" s="11" t="n">
        <v>0.58</v>
      </c>
      <c r="N6" s="11" t="n">
        <v>0.58</v>
      </c>
      <c r="O6" s="11" t="n">
        <v>0.38</v>
      </c>
      <c r="P6" s="11" t="n">
        <v>0.64</v>
      </c>
      <c r="Q6" s="11" t="n">
        <v>0.64</v>
      </c>
      <c r="R6" s="13" t="n">
        <v>0.08</v>
      </c>
    </row>
    <row r="7" customFormat="false" ht="15" hidden="false" customHeight="false" outlineLevel="0" collapsed="false">
      <c r="A7" s="4" t="s">
        <v>820</v>
      </c>
      <c r="B7" s="4" t="s">
        <v>818</v>
      </c>
      <c r="C7" s="4" t="s">
        <v>27</v>
      </c>
      <c r="D7" s="5" t="n">
        <v>3</v>
      </c>
      <c r="E7" s="6" t="n">
        <v>1.12</v>
      </c>
      <c r="F7" s="7" t="n">
        <f aca="false">E7*6</f>
        <v>6.72</v>
      </c>
      <c r="G7" s="7" t="n">
        <f aca="false">E7*12</f>
        <v>13.44</v>
      </c>
      <c r="H7" s="6" t="n">
        <v>1.42</v>
      </c>
      <c r="I7" s="6" t="n">
        <v>0.8</v>
      </c>
      <c r="J7" s="6" t="n">
        <v>0.8</v>
      </c>
      <c r="K7" s="6" t="n">
        <v>0.45</v>
      </c>
      <c r="L7" s="6" t="n">
        <v>0.45</v>
      </c>
      <c r="M7" s="6" t="n">
        <v>0.75</v>
      </c>
      <c r="N7" s="6" t="n">
        <v>0.75</v>
      </c>
      <c r="O7" s="6" t="n">
        <v>0.48</v>
      </c>
      <c r="P7" s="6" t="n">
        <v>0.72</v>
      </c>
      <c r="Q7" s="6" t="n">
        <v>0.72</v>
      </c>
      <c r="R7" s="8" t="n">
        <v>0.1</v>
      </c>
    </row>
    <row r="8" customFormat="false" ht="15" hidden="false" customHeight="false" outlineLevel="0" collapsed="false">
      <c r="A8" s="9" t="s">
        <v>821</v>
      </c>
      <c r="B8" s="9" t="s">
        <v>818</v>
      </c>
      <c r="C8" s="9" t="s">
        <v>27</v>
      </c>
      <c r="D8" s="10" t="n">
        <v>4</v>
      </c>
      <c r="E8" s="11" t="n">
        <v>1.45</v>
      </c>
      <c r="F8" s="12" t="n">
        <f aca="false">E8*6</f>
        <v>8.7</v>
      </c>
      <c r="G8" s="12" t="n">
        <f aca="false">E8*12</f>
        <v>17.4</v>
      </c>
      <c r="H8" s="11" t="n">
        <v>1.85</v>
      </c>
      <c r="I8" s="11" t="n">
        <v>1.02</v>
      </c>
      <c r="J8" s="11" t="n">
        <v>1.02</v>
      </c>
      <c r="K8" s="11" t="n">
        <v>0.59</v>
      </c>
      <c r="L8" s="11" t="n">
        <v>0.59</v>
      </c>
      <c r="M8" s="11" t="n">
        <v>0.74</v>
      </c>
      <c r="N8" s="11" t="n">
        <v>0.74</v>
      </c>
      <c r="O8" s="11" t="n">
        <v>0.48</v>
      </c>
      <c r="P8" s="11" t="n">
        <v>0.76</v>
      </c>
      <c r="Q8" s="11" t="n">
        <v>0.76</v>
      </c>
      <c r="R8" s="13" t="n">
        <v>0.1</v>
      </c>
    </row>
    <row r="9" customFormat="false" ht="15" hidden="false" customHeight="false" outlineLevel="0" collapsed="false">
      <c r="A9" s="4" t="s">
        <v>822</v>
      </c>
      <c r="B9" s="4" t="s">
        <v>818</v>
      </c>
      <c r="C9" s="4" t="s">
        <v>27</v>
      </c>
      <c r="D9" s="5" t="n">
        <v>5</v>
      </c>
      <c r="E9" s="6" t="n">
        <v>1.78</v>
      </c>
      <c r="F9" s="7" t="n">
        <f aca="false">E9*6</f>
        <v>10.68</v>
      </c>
      <c r="G9" s="7" t="n">
        <f aca="false">E9*12</f>
        <v>21.36</v>
      </c>
      <c r="H9" s="6" t="n">
        <v>2.26</v>
      </c>
      <c r="I9" s="6" t="n">
        <v>1.21</v>
      </c>
      <c r="J9" s="6" t="n">
        <v>1.21</v>
      </c>
      <c r="K9" s="6" t="n">
        <v>0.71</v>
      </c>
      <c r="L9" s="6" t="n">
        <v>0.71</v>
      </c>
      <c r="M9" s="6" t="n">
        <v>0.73</v>
      </c>
      <c r="N9" s="6" t="n">
        <v>0.73</v>
      </c>
      <c r="O9" s="6" t="n">
        <v>0.48</v>
      </c>
      <c r="P9" s="6" t="n">
        <v>0.8</v>
      </c>
      <c r="Q9" s="6" t="n">
        <v>0.8</v>
      </c>
      <c r="R9" s="8" t="n">
        <v>0.1</v>
      </c>
    </row>
    <row r="10" customFormat="false" ht="15" hidden="false" customHeight="false" outlineLevel="0" collapsed="false">
      <c r="A10" s="9" t="s">
        <v>823</v>
      </c>
      <c r="B10" s="9" t="s">
        <v>818</v>
      </c>
      <c r="C10" s="9" t="s">
        <v>33</v>
      </c>
      <c r="D10" s="10" t="n">
        <v>3</v>
      </c>
      <c r="E10" s="11" t="n">
        <v>1.36</v>
      </c>
      <c r="F10" s="12" t="n">
        <f aca="false">E10*6</f>
        <v>8.16</v>
      </c>
      <c r="G10" s="12" t="n">
        <f aca="false">E10*12</f>
        <v>16.32</v>
      </c>
      <c r="H10" s="11" t="n">
        <v>1.74</v>
      </c>
      <c r="I10" s="11" t="n">
        <v>1.4</v>
      </c>
      <c r="J10" s="11" t="n">
        <v>1.4</v>
      </c>
      <c r="K10" s="11" t="n">
        <v>0.65</v>
      </c>
      <c r="L10" s="11" t="n">
        <v>0.65</v>
      </c>
      <c r="M10" s="11" t="n">
        <v>0.9</v>
      </c>
      <c r="N10" s="11" t="n">
        <v>0.9</v>
      </c>
      <c r="O10" s="11" t="n">
        <v>0.58</v>
      </c>
      <c r="P10" s="11" t="n">
        <v>0.84</v>
      </c>
      <c r="Q10" s="11" t="n">
        <v>0.84</v>
      </c>
      <c r="R10" s="13" t="n">
        <v>0.12</v>
      </c>
    </row>
    <row r="11" customFormat="false" ht="15" hidden="false" customHeight="false" outlineLevel="0" collapsed="false">
      <c r="A11" s="4" t="s">
        <v>824</v>
      </c>
      <c r="B11" s="4" t="s">
        <v>818</v>
      </c>
      <c r="C11" s="4" t="s">
        <v>33</v>
      </c>
      <c r="D11" s="5" t="n">
        <v>4</v>
      </c>
      <c r="E11" s="6" t="n">
        <v>1.78</v>
      </c>
      <c r="F11" s="7" t="n">
        <f aca="false">E11*6</f>
        <v>10.68</v>
      </c>
      <c r="G11" s="7" t="n">
        <f aca="false">E11*12</f>
        <v>21.36</v>
      </c>
      <c r="H11" s="6" t="n">
        <v>2.27</v>
      </c>
      <c r="I11" s="6" t="n">
        <v>1.8</v>
      </c>
      <c r="J11" s="6" t="n">
        <v>1.8</v>
      </c>
      <c r="K11" s="6" t="n">
        <v>0.85</v>
      </c>
      <c r="L11" s="6" t="n">
        <v>0.85</v>
      </c>
      <c r="M11" s="6" t="n">
        <v>0.89</v>
      </c>
      <c r="N11" s="6" t="n">
        <v>0.89</v>
      </c>
      <c r="O11" s="6" t="n">
        <v>0.58</v>
      </c>
      <c r="P11" s="6" t="n">
        <v>0.88</v>
      </c>
      <c r="Q11" s="6" t="n">
        <v>0.88</v>
      </c>
      <c r="R11" s="8" t="n">
        <v>0.12</v>
      </c>
    </row>
    <row r="12" customFormat="false" ht="15" hidden="false" customHeight="false" outlineLevel="0" collapsed="false">
      <c r="A12" s="9" t="s">
        <v>825</v>
      </c>
      <c r="B12" s="9" t="s">
        <v>818</v>
      </c>
      <c r="C12" s="9" t="s">
        <v>33</v>
      </c>
      <c r="D12" s="10" t="n">
        <v>5</v>
      </c>
      <c r="E12" s="11" t="n">
        <v>2.18</v>
      </c>
      <c r="F12" s="12" t="n">
        <f aca="false">E12*6</f>
        <v>13.08</v>
      </c>
      <c r="G12" s="12" t="n">
        <f aca="false">E12*12</f>
        <v>26.16</v>
      </c>
      <c r="H12" s="11" t="n">
        <v>2.78</v>
      </c>
      <c r="I12" s="11" t="n">
        <v>2.16</v>
      </c>
      <c r="J12" s="11" t="n">
        <v>2.16</v>
      </c>
      <c r="K12" s="11" t="n">
        <v>1.04</v>
      </c>
      <c r="L12" s="11" t="n">
        <v>1.04</v>
      </c>
      <c r="M12" s="11" t="n">
        <v>0.88</v>
      </c>
      <c r="N12" s="11" t="n">
        <v>0.88</v>
      </c>
      <c r="O12" s="11" t="n">
        <v>0.57</v>
      </c>
      <c r="P12" s="11" t="n">
        <v>0.92</v>
      </c>
      <c r="Q12" s="11" t="n">
        <v>0.92</v>
      </c>
      <c r="R12" s="13" t="n">
        <v>0.12</v>
      </c>
    </row>
    <row r="13" customFormat="false" ht="15" hidden="false" customHeight="false" outlineLevel="0" collapsed="false">
      <c r="A13" s="4" t="s">
        <v>826</v>
      </c>
      <c r="B13" s="4" t="s">
        <v>818</v>
      </c>
      <c r="C13" s="4" t="s">
        <v>39</v>
      </c>
      <c r="D13" s="5" t="n">
        <v>4</v>
      </c>
      <c r="E13" s="6" t="n">
        <v>2.09</v>
      </c>
      <c r="F13" s="7" t="n">
        <f aca="false">E13*6</f>
        <v>12.54</v>
      </c>
      <c r="G13" s="7" t="n">
        <f aca="false">E13*12</f>
        <v>25.08</v>
      </c>
      <c r="H13" s="6" t="n">
        <v>2.67</v>
      </c>
      <c r="I13" s="6" t="n">
        <v>2.95</v>
      </c>
      <c r="J13" s="6" t="n">
        <v>2.95</v>
      </c>
      <c r="K13" s="6" t="n">
        <v>1.18</v>
      </c>
      <c r="L13" s="6" t="n">
        <v>1.18</v>
      </c>
      <c r="M13" s="6" t="n">
        <v>1.05</v>
      </c>
      <c r="N13" s="6" t="n">
        <v>1.05</v>
      </c>
      <c r="O13" s="6" t="n">
        <v>0.68</v>
      </c>
      <c r="P13" s="6" t="n">
        <v>1</v>
      </c>
      <c r="Q13" s="6" t="n">
        <v>1</v>
      </c>
      <c r="R13" s="8" t="n">
        <v>0.14</v>
      </c>
    </row>
    <row r="14" customFormat="false" ht="15" hidden="false" customHeight="false" outlineLevel="0" collapsed="false">
      <c r="A14" s="9" t="s">
        <v>827</v>
      </c>
      <c r="B14" s="9" t="s">
        <v>818</v>
      </c>
      <c r="C14" s="9" t="s">
        <v>39</v>
      </c>
      <c r="D14" s="10" t="n">
        <v>5</v>
      </c>
      <c r="E14" s="11" t="n">
        <v>2.57</v>
      </c>
      <c r="F14" s="12" t="n">
        <f aca="false">E14*6</f>
        <v>15.42</v>
      </c>
      <c r="G14" s="12" t="n">
        <f aca="false">E14*12</f>
        <v>30.84</v>
      </c>
      <c r="H14" s="11" t="n">
        <v>3.28</v>
      </c>
      <c r="I14" s="11" t="n">
        <v>3.56</v>
      </c>
      <c r="J14" s="11" t="n">
        <v>3.56</v>
      </c>
      <c r="K14" s="11" t="n">
        <v>1.45</v>
      </c>
      <c r="L14" s="11" t="n">
        <v>1.45</v>
      </c>
      <c r="M14" s="11" t="n">
        <v>1.04</v>
      </c>
      <c r="N14" s="11" t="n">
        <v>1.04</v>
      </c>
      <c r="O14" s="11" t="n">
        <v>0.67</v>
      </c>
      <c r="P14" s="11" t="n">
        <v>1.04</v>
      </c>
      <c r="Q14" s="11" t="n">
        <v>1.04</v>
      </c>
      <c r="R14" s="13" t="n">
        <v>0.14</v>
      </c>
    </row>
    <row r="15" customFormat="false" ht="15" hidden="false" customHeight="false" outlineLevel="0" collapsed="false">
      <c r="A15" s="4" t="s">
        <v>828</v>
      </c>
      <c r="B15" s="4" t="s">
        <v>818</v>
      </c>
      <c r="C15" s="4" t="s">
        <v>45</v>
      </c>
      <c r="D15" s="5" t="n">
        <v>4</v>
      </c>
      <c r="E15" s="6" t="n">
        <v>2.42</v>
      </c>
      <c r="F15" s="7" t="n">
        <f aca="false">E15*6</f>
        <v>14.52</v>
      </c>
      <c r="G15" s="7" t="n">
        <f aca="false">E15*12</f>
        <v>29.04</v>
      </c>
      <c r="H15" s="6" t="n">
        <v>3.08</v>
      </c>
      <c r="I15" s="6" t="n">
        <v>4.47</v>
      </c>
      <c r="J15" s="6" t="n">
        <v>4.47</v>
      </c>
      <c r="K15" s="6" t="n">
        <v>1.55</v>
      </c>
      <c r="L15" s="6" t="n">
        <v>1.55</v>
      </c>
      <c r="M15" s="6" t="n">
        <v>1.21</v>
      </c>
      <c r="N15" s="6" t="n">
        <v>1.21</v>
      </c>
      <c r="O15" s="6" t="n">
        <v>0.78</v>
      </c>
      <c r="P15" s="6" t="n">
        <v>1.12</v>
      </c>
      <c r="Q15" s="6" t="n">
        <v>1.12</v>
      </c>
      <c r="R15" s="8" t="n">
        <v>0.16</v>
      </c>
    </row>
    <row r="16" customFormat="false" ht="15" hidden="false" customHeight="false" outlineLevel="0" collapsed="false">
      <c r="A16" s="9" t="s">
        <v>829</v>
      </c>
      <c r="B16" s="9" t="s">
        <v>818</v>
      </c>
      <c r="C16" s="9" t="s">
        <v>45</v>
      </c>
      <c r="D16" s="10" t="n">
        <v>5</v>
      </c>
      <c r="E16" s="11" t="n">
        <v>2.97</v>
      </c>
      <c r="F16" s="12" t="n">
        <f aca="false">E16*6</f>
        <v>17.82</v>
      </c>
      <c r="G16" s="12" t="n">
        <f aca="false">E16*12</f>
        <v>35.64</v>
      </c>
      <c r="H16" s="11" t="n">
        <v>3.79</v>
      </c>
      <c r="I16" s="11" t="n">
        <v>5.43</v>
      </c>
      <c r="J16" s="11" t="n">
        <v>5.43</v>
      </c>
      <c r="K16" s="11" t="n">
        <v>1.91</v>
      </c>
      <c r="L16" s="11" t="n">
        <v>1.91</v>
      </c>
      <c r="M16" s="11" t="n">
        <v>1.2</v>
      </c>
      <c r="N16" s="11" t="n">
        <v>1.2</v>
      </c>
      <c r="O16" s="11" t="n">
        <v>0.77</v>
      </c>
      <c r="P16" s="11" t="n">
        <v>1.16</v>
      </c>
      <c r="Q16" s="11" t="n">
        <v>1.16</v>
      </c>
      <c r="R16" s="13" t="n">
        <v>0.16</v>
      </c>
    </row>
    <row r="17" customFormat="false" ht="15" hidden="false" customHeight="false" outlineLevel="0" collapsed="false">
      <c r="A17" s="4" t="s">
        <v>830</v>
      </c>
      <c r="B17" s="4" t="s">
        <v>818</v>
      </c>
      <c r="C17" s="4" t="s">
        <v>45</v>
      </c>
      <c r="D17" s="5" t="n">
        <v>6</v>
      </c>
      <c r="E17" s="6" t="n">
        <v>3.52</v>
      </c>
      <c r="F17" s="7" t="n">
        <f aca="false">E17*6</f>
        <v>21.12</v>
      </c>
      <c r="G17" s="7" t="n">
        <f aca="false">E17*12</f>
        <v>42.24</v>
      </c>
      <c r="H17" s="6" t="n">
        <v>4.48</v>
      </c>
      <c r="I17" s="6" t="n">
        <v>6.31</v>
      </c>
      <c r="J17" s="6" t="n">
        <v>6.31</v>
      </c>
      <c r="K17" s="6" t="n">
        <v>2.26</v>
      </c>
      <c r="L17" s="6" t="n">
        <v>2.26</v>
      </c>
      <c r="M17" s="6" t="n">
        <v>1.19</v>
      </c>
      <c r="N17" s="6" t="n">
        <v>1.19</v>
      </c>
      <c r="O17" s="6" t="n">
        <v>0.77</v>
      </c>
      <c r="P17" s="6" t="n">
        <v>1.2</v>
      </c>
      <c r="Q17" s="6" t="n">
        <v>1.2</v>
      </c>
      <c r="R17" s="8" t="n">
        <v>0.16</v>
      </c>
    </row>
    <row r="18" customFormat="false" ht="15" hidden="false" customHeight="false" outlineLevel="0" collapsed="false">
      <c r="A18" s="9" t="s">
        <v>831</v>
      </c>
      <c r="B18" s="9" t="s">
        <v>818</v>
      </c>
      <c r="C18" s="9" t="s">
        <v>51</v>
      </c>
      <c r="D18" s="10" t="n">
        <v>5</v>
      </c>
      <c r="E18" s="11" t="n">
        <v>3.38</v>
      </c>
      <c r="F18" s="12" t="n">
        <f aca="false">E18*6</f>
        <v>20.28</v>
      </c>
      <c r="G18" s="12" t="n">
        <f aca="false">E18*12</f>
        <v>40.56</v>
      </c>
      <c r="H18" s="11" t="n">
        <v>4.3</v>
      </c>
      <c r="I18" s="11" t="n">
        <v>7.84</v>
      </c>
      <c r="J18" s="11" t="n">
        <v>7.84</v>
      </c>
      <c r="K18" s="11" t="n">
        <v>2.43</v>
      </c>
      <c r="L18" s="11" t="n">
        <v>2.43</v>
      </c>
      <c r="M18" s="11" t="n">
        <v>1.35</v>
      </c>
      <c r="N18" s="11" t="n">
        <v>1.35</v>
      </c>
      <c r="O18" s="11" t="n">
        <v>0.87</v>
      </c>
      <c r="P18" s="11" t="n">
        <v>1.28</v>
      </c>
      <c r="Q18" s="11" t="n">
        <v>1.28</v>
      </c>
      <c r="R18" s="13" t="n">
        <v>0.18</v>
      </c>
    </row>
    <row r="19" customFormat="false" ht="15" hidden="false" customHeight="false" outlineLevel="0" collapsed="false">
      <c r="A19" s="4" t="s">
        <v>832</v>
      </c>
      <c r="B19" s="4" t="s">
        <v>818</v>
      </c>
      <c r="C19" s="4" t="s">
        <v>51</v>
      </c>
      <c r="D19" s="5" t="n">
        <v>6</v>
      </c>
      <c r="E19" s="6" t="n">
        <v>4</v>
      </c>
      <c r="F19" s="7" t="n">
        <f aca="false">E19*6</f>
        <v>24</v>
      </c>
      <c r="G19" s="7" t="n">
        <f aca="false">E19*12</f>
        <v>48</v>
      </c>
      <c r="H19" s="6" t="n">
        <v>5.09</v>
      </c>
      <c r="I19" s="6" t="n">
        <v>9.16</v>
      </c>
      <c r="J19" s="6" t="n">
        <v>9.16</v>
      </c>
      <c r="K19" s="6" t="n">
        <v>2.88</v>
      </c>
      <c r="L19" s="6" t="n">
        <v>2.88</v>
      </c>
      <c r="M19" s="6" t="n">
        <v>1.34</v>
      </c>
      <c r="N19" s="6" t="n">
        <v>1.34</v>
      </c>
      <c r="O19" s="6" t="n">
        <v>0.87</v>
      </c>
      <c r="P19" s="6" t="n">
        <v>1.32</v>
      </c>
      <c r="Q19" s="6" t="n">
        <v>1.32</v>
      </c>
      <c r="R19" s="8" t="n">
        <v>0.18</v>
      </c>
    </row>
    <row r="20" customFormat="false" ht="15" hidden="false" customHeight="false" outlineLevel="0" collapsed="false">
      <c r="A20" s="9" t="s">
        <v>833</v>
      </c>
      <c r="B20" s="9" t="s">
        <v>818</v>
      </c>
      <c r="C20" s="9" t="s">
        <v>57</v>
      </c>
      <c r="D20" s="10" t="n">
        <v>4</v>
      </c>
      <c r="E20" s="11" t="n">
        <v>3.06</v>
      </c>
      <c r="F20" s="12" t="n">
        <f aca="false">E20*6</f>
        <v>18.36</v>
      </c>
      <c r="G20" s="12" t="n">
        <f aca="false">E20*12</f>
        <v>36.72</v>
      </c>
      <c r="H20" s="11" t="n">
        <v>3.89</v>
      </c>
      <c r="I20" s="11" t="n">
        <v>8.97</v>
      </c>
      <c r="J20" s="11" t="n">
        <v>8.97</v>
      </c>
      <c r="K20" s="11" t="n">
        <v>2.46</v>
      </c>
      <c r="L20" s="11" t="n">
        <v>2.46</v>
      </c>
      <c r="M20" s="11" t="n">
        <v>1.52</v>
      </c>
      <c r="N20" s="11" t="n">
        <v>1.52</v>
      </c>
      <c r="O20" s="11" t="n">
        <v>0.98</v>
      </c>
      <c r="P20" s="11" t="n">
        <v>1.36</v>
      </c>
      <c r="Q20" s="11" t="n">
        <v>1.36</v>
      </c>
      <c r="R20" s="13" t="n">
        <v>0.2</v>
      </c>
    </row>
    <row r="21" customFormat="false" ht="15" hidden="false" customHeight="false" outlineLevel="0" collapsed="false">
      <c r="A21" s="4" t="s">
        <v>834</v>
      </c>
      <c r="B21" s="4" t="s">
        <v>818</v>
      </c>
      <c r="C21" s="4" t="s">
        <v>57</v>
      </c>
      <c r="D21" s="5" t="n">
        <v>5</v>
      </c>
      <c r="E21" s="6" t="n">
        <v>3.77</v>
      </c>
      <c r="F21" s="7" t="n">
        <f aca="false">E21*6</f>
        <v>22.62</v>
      </c>
      <c r="G21" s="7" t="n">
        <f aca="false">E21*12</f>
        <v>45.24</v>
      </c>
      <c r="H21" s="6" t="n">
        <v>4.8</v>
      </c>
      <c r="I21" s="6" t="n">
        <v>10.96</v>
      </c>
      <c r="J21" s="6" t="n">
        <v>10.96</v>
      </c>
      <c r="K21" s="6" t="n">
        <v>3.05</v>
      </c>
      <c r="L21" s="6" t="n">
        <v>3.05</v>
      </c>
      <c r="M21" s="6" t="n">
        <v>1.51</v>
      </c>
      <c r="N21" s="6" t="n">
        <v>1.51</v>
      </c>
      <c r="O21" s="6" t="n">
        <v>0.97</v>
      </c>
      <c r="P21" s="6" t="n">
        <v>1.4</v>
      </c>
      <c r="Q21" s="6" t="n">
        <v>1.4</v>
      </c>
      <c r="R21" s="8" t="n">
        <v>0.2</v>
      </c>
    </row>
    <row r="22" customFormat="false" ht="15" hidden="false" customHeight="false" outlineLevel="0" collapsed="false">
      <c r="A22" s="9" t="s">
        <v>835</v>
      </c>
      <c r="B22" s="9" t="s">
        <v>818</v>
      </c>
      <c r="C22" s="9" t="s">
        <v>57</v>
      </c>
      <c r="D22" s="10" t="n">
        <v>6</v>
      </c>
      <c r="E22" s="11" t="n">
        <v>4.47</v>
      </c>
      <c r="F22" s="12" t="n">
        <f aca="false">E22*6</f>
        <v>26.82</v>
      </c>
      <c r="G22" s="12" t="n">
        <f aca="false">E22*12</f>
        <v>53.64</v>
      </c>
      <c r="H22" s="11" t="n">
        <v>5.69</v>
      </c>
      <c r="I22" s="11" t="n">
        <v>12.84</v>
      </c>
      <c r="J22" s="11" t="n">
        <v>12.84</v>
      </c>
      <c r="K22" s="11" t="n">
        <v>3.61</v>
      </c>
      <c r="L22" s="11" t="n">
        <v>3.61</v>
      </c>
      <c r="M22" s="11" t="n">
        <v>1.5</v>
      </c>
      <c r="N22" s="11" t="n">
        <v>1.5</v>
      </c>
      <c r="O22" s="11" t="n">
        <v>0.97</v>
      </c>
      <c r="P22" s="11" t="n">
        <v>1.45</v>
      </c>
      <c r="Q22" s="11" t="n">
        <v>1.45</v>
      </c>
      <c r="R22" s="13" t="n">
        <v>0.2</v>
      </c>
    </row>
    <row r="23" customFormat="false" ht="15" hidden="false" customHeight="false" outlineLevel="0" collapsed="false">
      <c r="A23" s="4" t="s">
        <v>836</v>
      </c>
      <c r="B23" s="4" t="s">
        <v>818</v>
      </c>
      <c r="C23" s="4" t="s">
        <v>63</v>
      </c>
      <c r="D23" s="5" t="n">
        <v>5</v>
      </c>
      <c r="E23" s="6" t="n">
        <v>4.57</v>
      </c>
      <c r="F23" s="7" t="n">
        <f aca="false">E23*6</f>
        <v>27.42</v>
      </c>
      <c r="G23" s="7" t="n">
        <f aca="false">E23*12</f>
        <v>54.84</v>
      </c>
      <c r="H23" s="6" t="n">
        <v>5.82</v>
      </c>
      <c r="I23" s="6" t="n">
        <v>19.36</v>
      </c>
      <c r="J23" s="6" t="n">
        <v>19.36</v>
      </c>
      <c r="K23" s="6" t="n">
        <v>4.44</v>
      </c>
      <c r="L23" s="6" t="n">
        <v>4.44</v>
      </c>
      <c r="M23" s="6" t="n">
        <v>1.82</v>
      </c>
      <c r="N23" s="6" t="n">
        <v>1.82</v>
      </c>
      <c r="O23" s="6" t="n">
        <v>1.17</v>
      </c>
      <c r="P23" s="6" t="n">
        <v>1.64</v>
      </c>
      <c r="Q23" s="6" t="n">
        <v>1.64</v>
      </c>
      <c r="R23" s="8" t="n">
        <v>0.24</v>
      </c>
    </row>
    <row r="24" customFormat="false" ht="15" hidden="false" customHeight="false" outlineLevel="0" collapsed="false">
      <c r="A24" s="9" t="s">
        <v>837</v>
      </c>
      <c r="B24" s="9" t="s">
        <v>818</v>
      </c>
      <c r="C24" s="9" t="s">
        <v>63</v>
      </c>
      <c r="D24" s="10" t="n">
        <v>6</v>
      </c>
      <c r="E24" s="11" t="n">
        <v>5.42</v>
      </c>
      <c r="F24" s="12" t="n">
        <f aca="false">E24*6</f>
        <v>32.52</v>
      </c>
      <c r="G24" s="12" t="n">
        <f aca="false">E24*12</f>
        <v>65.04</v>
      </c>
      <c r="H24" s="11" t="n">
        <v>6.91</v>
      </c>
      <c r="I24" s="11" t="n">
        <v>22.79</v>
      </c>
      <c r="J24" s="11" t="n">
        <v>22.79</v>
      </c>
      <c r="K24" s="11" t="n">
        <v>5.28</v>
      </c>
      <c r="L24" s="11" t="n">
        <v>5.28</v>
      </c>
      <c r="M24" s="11" t="n">
        <v>1.82</v>
      </c>
      <c r="N24" s="11" t="n">
        <v>1.82</v>
      </c>
      <c r="O24" s="11" t="n">
        <v>1.17</v>
      </c>
      <c r="P24" s="11" t="n">
        <v>1.69</v>
      </c>
      <c r="Q24" s="11" t="n">
        <v>1.69</v>
      </c>
      <c r="R24" s="13" t="n">
        <v>0.24</v>
      </c>
    </row>
    <row r="25" customFormat="false" ht="15" hidden="false" customHeight="false" outlineLevel="0" collapsed="false">
      <c r="A25" s="4" t="s">
        <v>838</v>
      </c>
      <c r="B25" s="4" t="s">
        <v>818</v>
      </c>
      <c r="C25" s="4" t="s">
        <v>63</v>
      </c>
      <c r="D25" s="5" t="n">
        <v>8</v>
      </c>
      <c r="E25" s="6" t="n">
        <v>7.09</v>
      </c>
      <c r="F25" s="7" t="n">
        <f aca="false">E25*6</f>
        <v>42.54</v>
      </c>
      <c r="G25" s="7" t="n">
        <f aca="false">E25*12</f>
        <v>85.08</v>
      </c>
      <c r="H25" s="6" t="n">
        <v>9.03</v>
      </c>
      <c r="I25" s="6" t="n">
        <v>29.15</v>
      </c>
      <c r="J25" s="6" t="n">
        <v>29.15</v>
      </c>
      <c r="K25" s="6" t="n">
        <v>6.89</v>
      </c>
      <c r="L25" s="6" t="n">
        <v>6.89</v>
      </c>
      <c r="M25" s="6" t="n">
        <v>1.8</v>
      </c>
      <c r="N25" s="6" t="n">
        <v>1.8</v>
      </c>
      <c r="O25" s="6" t="n">
        <v>1.16</v>
      </c>
      <c r="P25" s="6" t="n">
        <v>1.77</v>
      </c>
      <c r="Q25" s="6" t="n">
        <v>1.77</v>
      </c>
      <c r="R25" s="8" t="n">
        <v>0.24</v>
      </c>
    </row>
    <row r="26" customFormat="false" ht="15" hidden="false" customHeight="false" outlineLevel="0" collapsed="false">
      <c r="A26" s="9" t="s">
        <v>839</v>
      </c>
      <c r="B26" s="9" t="s">
        <v>818</v>
      </c>
      <c r="C26" s="9" t="s">
        <v>840</v>
      </c>
      <c r="D26" s="10" t="n">
        <v>7</v>
      </c>
      <c r="E26" s="11" t="n">
        <v>6.83</v>
      </c>
      <c r="F26" s="12" t="n">
        <f aca="false">E26*6</f>
        <v>40.98</v>
      </c>
      <c r="G26" s="12" t="n">
        <f aca="false">E26*12</f>
        <v>81.96</v>
      </c>
      <c r="H26" s="11" t="n">
        <v>8.7</v>
      </c>
      <c r="I26" s="11" t="n">
        <v>33.42</v>
      </c>
      <c r="J26" s="11" t="n">
        <v>33.42</v>
      </c>
      <c r="K26" s="11" t="n">
        <v>7.18</v>
      </c>
      <c r="L26" s="11" t="n">
        <v>7.18</v>
      </c>
      <c r="M26" s="11" t="n">
        <v>1.96</v>
      </c>
      <c r="N26" s="11" t="n">
        <v>1.96</v>
      </c>
      <c r="O26" s="11" t="n">
        <v>1.26</v>
      </c>
      <c r="P26" s="11" t="n">
        <v>1.85</v>
      </c>
      <c r="Q26" s="11" t="n">
        <v>1.85</v>
      </c>
      <c r="R26" s="13" t="n">
        <v>0.26</v>
      </c>
    </row>
    <row r="27" customFormat="false" ht="15" hidden="false" customHeight="false" outlineLevel="0" collapsed="false">
      <c r="A27" s="4" t="s">
        <v>841</v>
      </c>
      <c r="B27" s="4" t="s">
        <v>818</v>
      </c>
      <c r="C27" s="4" t="s">
        <v>69</v>
      </c>
      <c r="D27" s="5" t="n">
        <v>6</v>
      </c>
      <c r="E27" s="6" t="n">
        <v>6.38</v>
      </c>
      <c r="F27" s="7" t="n">
        <f aca="false">E27*6</f>
        <v>38.28</v>
      </c>
      <c r="G27" s="7" t="n">
        <f aca="false">E27*12</f>
        <v>76.56</v>
      </c>
      <c r="H27" s="6" t="n">
        <v>8.13</v>
      </c>
      <c r="I27" s="6" t="n">
        <v>36.87</v>
      </c>
      <c r="J27" s="6" t="n">
        <v>36.87</v>
      </c>
      <c r="K27" s="6" t="n">
        <v>7.27</v>
      </c>
      <c r="L27" s="6" t="n">
        <v>7.27</v>
      </c>
      <c r="M27" s="6" t="n">
        <v>2.13</v>
      </c>
      <c r="N27" s="6" t="n">
        <v>2.13</v>
      </c>
      <c r="O27" s="6" t="n">
        <v>1.37</v>
      </c>
      <c r="P27" s="6" t="n">
        <v>1.93</v>
      </c>
      <c r="Q27" s="6" t="n">
        <v>1.93</v>
      </c>
      <c r="R27" s="8" t="n">
        <v>0.28</v>
      </c>
    </row>
    <row r="28" customFormat="false" ht="15" hidden="false" customHeight="false" outlineLevel="0" collapsed="false">
      <c r="A28" s="9" t="s">
        <v>842</v>
      </c>
      <c r="B28" s="9" t="s">
        <v>818</v>
      </c>
      <c r="C28" s="9" t="s">
        <v>69</v>
      </c>
      <c r="D28" s="10" t="n">
        <v>7</v>
      </c>
      <c r="E28" s="11" t="n">
        <v>7.38</v>
      </c>
      <c r="F28" s="12" t="n">
        <f aca="false">E28*6</f>
        <v>44.28</v>
      </c>
      <c r="G28" s="12" t="n">
        <f aca="false">E28*12</f>
        <v>88.56</v>
      </c>
      <c r="H28" s="11" t="n">
        <v>9.4</v>
      </c>
      <c r="I28" s="11" t="n">
        <v>42.29</v>
      </c>
      <c r="J28" s="11" t="n">
        <v>42.29</v>
      </c>
      <c r="K28" s="11" t="n">
        <v>8.41</v>
      </c>
      <c r="L28" s="11" t="n">
        <v>8.41</v>
      </c>
      <c r="M28" s="11" t="n">
        <v>2.12</v>
      </c>
      <c r="N28" s="11" t="n">
        <v>2.12</v>
      </c>
      <c r="O28" s="11" t="n">
        <v>1.36</v>
      </c>
      <c r="P28" s="11" t="n">
        <v>1.97</v>
      </c>
      <c r="Q28" s="11" t="n">
        <v>1.97</v>
      </c>
      <c r="R28" s="13" t="n">
        <v>0.28</v>
      </c>
    </row>
    <row r="29" customFormat="false" ht="15" hidden="false" customHeight="false" outlineLevel="0" collapsed="false">
      <c r="A29" s="4" t="s">
        <v>843</v>
      </c>
      <c r="B29" s="4" t="s">
        <v>818</v>
      </c>
      <c r="C29" s="4" t="s">
        <v>844</v>
      </c>
      <c r="D29" s="5" t="n">
        <v>6</v>
      </c>
      <c r="E29" s="6" t="n">
        <v>6.87</v>
      </c>
      <c r="F29" s="7" t="n">
        <f aca="false">E29*6</f>
        <v>41.22</v>
      </c>
      <c r="G29" s="7" t="n">
        <f aca="false">E29*12</f>
        <v>82.44</v>
      </c>
      <c r="H29" s="6" t="n">
        <v>8.75</v>
      </c>
      <c r="I29" s="6" t="n">
        <v>45.55</v>
      </c>
      <c r="J29" s="6" t="n">
        <v>45.55</v>
      </c>
      <c r="K29" s="6" t="n">
        <v>8.35</v>
      </c>
      <c r="L29" s="6" t="n">
        <v>8.35</v>
      </c>
      <c r="M29" s="6" t="n">
        <v>2.28</v>
      </c>
      <c r="N29" s="6" t="n">
        <v>2.28</v>
      </c>
      <c r="O29" s="6" t="n">
        <v>1.47</v>
      </c>
      <c r="P29" s="6" t="n">
        <v>2.04</v>
      </c>
      <c r="Q29" s="6" t="n">
        <v>2.04</v>
      </c>
      <c r="R29" s="8" t="n">
        <v>0.3</v>
      </c>
    </row>
    <row r="30" customFormat="false" ht="15" hidden="false" customHeight="false" outlineLevel="0" collapsed="false">
      <c r="A30" s="9" t="s">
        <v>845</v>
      </c>
      <c r="B30" s="9" t="s">
        <v>818</v>
      </c>
      <c r="C30" s="9" t="s">
        <v>844</v>
      </c>
      <c r="D30" s="10" t="n">
        <v>8</v>
      </c>
      <c r="E30" s="11" t="n">
        <v>9</v>
      </c>
      <c r="F30" s="12" t="n">
        <f aca="false">E30*6</f>
        <v>54</v>
      </c>
      <c r="G30" s="12" t="n">
        <f aca="false">E30*12</f>
        <v>108</v>
      </c>
      <c r="H30" s="11" t="n">
        <v>11.47</v>
      </c>
      <c r="I30" s="11" t="n">
        <v>58.86</v>
      </c>
      <c r="J30" s="11" t="n">
        <v>58.86</v>
      </c>
      <c r="K30" s="11" t="n">
        <v>10.96</v>
      </c>
      <c r="L30" s="11" t="n">
        <v>10.96</v>
      </c>
      <c r="M30" s="11" t="n">
        <v>2.27</v>
      </c>
      <c r="N30" s="11" t="n">
        <v>2.27</v>
      </c>
      <c r="O30" s="11" t="n">
        <v>1.46</v>
      </c>
      <c r="P30" s="11" t="n">
        <v>2.13</v>
      </c>
      <c r="Q30" s="11" t="n">
        <v>2.13</v>
      </c>
      <c r="R30" s="13" t="n">
        <v>0.3</v>
      </c>
    </row>
    <row r="31" customFormat="false" ht="15" hidden="false" customHeight="false" outlineLevel="0" collapsed="false">
      <c r="A31" s="4" t="s">
        <v>846</v>
      </c>
      <c r="B31" s="4" t="s">
        <v>818</v>
      </c>
      <c r="C31" s="4" t="s">
        <v>75</v>
      </c>
      <c r="D31" s="5" t="n">
        <v>8</v>
      </c>
      <c r="E31" s="6" t="n">
        <v>9.63</v>
      </c>
      <c r="F31" s="7" t="n">
        <f aca="false">E31*6</f>
        <v>57.78</v>
      </c>
      <c r="G31" s="7" t="n">
        <f aca="false">E31*12</f>
        <v>115.56</v>
      </c>
      <c r="H31" s="6" t="n">
        <v>12.27</v>
      </c>
      <c r="I31" s="6" t="n">
        <v>72.23</v>
      </c>
      <c r="J31" s="6" t="n">
        <v>72.23</v>
      </c>
      <c r="K31" s="6" t="n">
        <v>12.57</v>
      </c>
      <c r="L31" s="6" t="n">
        <v>12.57</v>
      </c>
      <c r="M31" s="6" t="n">
        <v>2.43</v>
      </c>
      <c r="N31" s="6" t="n">
        <v>2.43</v>
      </c>
      <c r="O31" s="6" t="n">
        <v>1.56</v>
      </c>
      <c r="P31" s="6" t="n">
        <v>2.25</v>
      </c>
      <c r="Q31" s="6" t="n">
        <v>2.25</v>
      </c>
      <c r="R31" s="8" t="n">
        <v>0.32</v>
      </c>
    </row>
    <row r="32" customFormat="false" ht="15" hidden="false" customHeight="false" outlineLevel="0" collapsed="false">
      <c r="A32" s="9" t="s">
        <v>847</v>
      </c>
      <c r="B32" s="9" t="s">
        <v>818</v>
      </c>
      <c r="C32" s="9" t="s">
        <v>75</v>
      </c>
      <c r="D32" s="10" t="n">
        <v>10</v>
      </c>
      <c r="E32" s="11" t="n">
        <v>11.86</v>
      </c>
      <c r="F32" s="12" t="n">
        <f aca="false">E32*6</f>
        <v>71.16</v>
      </c>
      <c r="G32" s="12" t="n">
        <f aca="false">E32*12</f>
        <v>142.32</v>
      </c>
      <c r="H32" s="11" t="n">
        <v>15.11</v>
      </c>
      <c r="I32" s="11" t="n">
        <v>87.49</v>
      </c>
      <c r="J32" s="11" t="n">
        <v>87.49</v>
      </c>
      <c r="K32" s="11" t="n">
        <v>15.45</v>
      </c>
      <c r="L32" s="11" t="n">
        <v>15.45</v>
      </c>
      <c r="M32" s="11" t="n">
        <v>2.41</v>
      </c>
      <c r="N32" s="11" t="n">
        <v>2.41</v>
      </c>
      <c r="O32" s="11" t="n">
        <v>1.55</v>
      </c>
      <c r="P32" s="11" t="n">
        <v>2.34</v>
      </c>
      <c r="Q32" s="11" t="n">
        <v>2.34</v>
      </c>
      <c r="R32" s="13" t="n">
        <v>0.32</v>
      </c>
    </row>
    <row r="33" customFormat="false" ht="15" hidden="false" customHeight="false" outlineLevel="0" collapsed="false">
      <c r="A33" s="4" t="s">
        <v>848</v>
      </c>
      <c r="B33" s="4" t="s">
        <v>818</v>
      </c>
      <c r="C33" s="4" t="s">
        <v>81</v>
      </c>
      <c r="D33" s="5" t="n">
        <v>7</v>
      </c>
      <c r="E33" s="6" t="n">
        <v>9.61</v>
      </c>
      <c r="F33" s="7" t="n">
        <f aca="false">E33*6</f>
        <v>57.66</v>
      </c>
      <c r="G33" s="7" t="n">
        <f aca="false">E33*12</f>
        <v>115.32</v>
      </c>
      <c r="H33" s="6" t="n">
        <v>12.24</v>
      </c>
      <c r="I33" s="6" t="n">
        <v>92.52</v>
      </c>
      <c r="J33" s="6" t="n">
        <v>92.52</v>
      </c>
      <c r="K33" s="6" t="n">
        <v>14.13</v>
      </c>
      <c r="L33" s="6" t="n">
        <v>14.13</v>
      </c>
      <c r="M33" s="6" t="n">
        <v>2.75</v>
      </c>
      <c r="N33" s="6" t="n">
        <v>2.75</v>
      </c>
      <c r="O33" s="6" t="n">
        <v>1.77</v>
      </c>
      <c r="P33" s="6" t="n">
        <v>2.45</v>
      </c>
      <c r="Q33" s="6" t="n">
        <v>2.45</v>
      </c>
      <c r="R33" s="8" t="n">
        <v>0.36</v>
      </c>
    </row>
    <row r="34" customFormat="false" ht="15" hidden="false" customHeight="false" outlineLevel="0" collapsed="false">
      <c r="A34" s="9" t="s">
        <v>849</v>
      </c>
      <c r="B34" s="9" t="s">
        <v>818</v>
      </c>
      <c r="C34" s="9" t="s">
        <v>81</v>
      </c>
      <c r="D34" s="10" t="n">
        <v>8</v>
      </c>
      <c r="E34" s="11" t="n">
        <v>10.9</v>
      </c>
      <c r="F34" s="12" t="n">
        <f aca="false">E34*6</f>
        <v>65.4</v>
      </c>
      <c r="G34" s="12" t="n">
        <f aca="false">E34*12</f>
        <v>130.8</v>
      </c>
      <c r="H34" s="11" t="n">
        <v>13.89</v>
      </c>
      <c r="I34" s="11" t="n">
        <v>104.35</v>
      </c>
      <c r="J34" s="11" t="n">
        <v>104.35</v>
      </c>
      <c r="K34" s="11" t="n">
        <v>16.05</v>
      </c>
      <c r="L34" s="11" t="n">
        <v>16.05</v>
      </c>
      <c r="M34" s="11" t="n">
        <v>2.74</v>
      </c>
      <c r="N34" s="11" t="n">
        <v>2.74</v>
      </c>
      <c r="O34" s="11" t="n">
        <v>1.76</v>
      </c>
      <c r="P34" s="11" t="n">
        <v>2.5</v>
      </c>
      <c r="Q34" s="11" t="n">
        <v>2.5</v>
      </c>
      <c r="R34" s="13" t="n">
        <v>0.36</v>
      </c>
    </row>
    <row r="35" customFormat="false" ht="15" hidden="false" customHeight="false" outlineLevel="0" collapsed="false">
      <c r="A35" s="4" t="s">
        <v>850</v>
      </c>
      <c r="B35" s="4" t="s">
        <v>818</v>
      </c>
      <c r="C35" s="4" t="s">
        <v>81</v>
      </c>
      <c r="D35" s="5" t="n">
        <v>9</v>
      </c>
      <c r="E35" s="6" t="n">
        <v>12.18</v>
      </c>
      <c r="F35" s="7" t="n">
        <f aca="false">E35*6</f>
        <v>73.08</v>
      </c>
      <c r="G35" s="7" t="n">
        <f aca="false">E35*12</f>
        <v>146.16</v>
      </c>
      <c r="H35" s="6" t="n">
        <v>15.52</v>
      </c>
      <c r="I35" s="6" t="n">
        <v>115.81</v>
      </c>
      <c r="J35" s="6" t="n">
        <v>115.81</v>
      </c>
      <c r="K35" s="6" t="n">
        <v>17.92</v>
      </c>
      <c r="L35" s="6" t="n">
        <v>17.92</v>
      </c>
      <c r="M35" s="6" t="n">
        <v>2.73</v>
      </c>
      <c r="N35" s="6" t="n">
        <v>2.73</v>
      </c>
      <c r="O35" s="6" t="n">
        <v>1.76</v>
      </c>
      <c r="P35" s="6" t="n">
        <v>2.54</v>
      </c>
      <c r="Q35" s="6" t="n">
        <v>2.54</v>
      </c>
      <c r="R35" s="8" t="n">
        <v>0.36</v>
      </c>
    </row>
    <row r="36" customFormat="false" ht="15" hidden="false" customHeight="false" outlineLevel="0" collapsed="false">
      <c r="A36" s="9" t="s">
        <v>851</v>
      </c>
      <c r="B36" s="9" t="s">
        <v>818</v>
      </c>
      <c r="C36" s="9" t="s">
        <v>81</v>
      </c>
      <c r="D36" s="10" t="n">
        <v>10</v>
      </c>
      <c r="E36" s="11" t="n">
        <v>13.45</v>
      </c>
      <c r="F36" s="12" t="n">
        <f aca="false">E36*6</f>
        <v>80.7</v>
      </c>
      <c r="G36" s="12" t="n">
        <f aca="false">E36*12</f>
        <v>161.4</v>
      </c>
      <c r="H36" s="11" t="n">
        <v>17.13</v>
      </c>
      <c r="I36" s="11" t="n">
        <v>126.89</v>
      </c>
      <c r="J36" s="11" t="n">
        <v>126.89</v>
      </c>
      <c r="K36" s="11" t="n">
        <v>19.76</v>
      </c>
      <c r="L36" s="11" t="n">
        <v>19.76</v>
      </c>
      <c r="M36" s="11" t="n">
        <v>2.72</v>
      </c>
      <c r="N36" s="11" t="n">
        <v>2.72</v>
      </c>
      <c r="O36" s="11" t="n">
        <v>1.75</v>
      </c>
      <c r="P36" s="11" t="n">
        <v>2.58</v>
      </c>
      <c r="Q36" s="11" t="n">
        <v>2.58</v>
      </c>
      <c r="R36" s="13" t="n">
        <v>0.36</v>
      </c>
    </row>
    <row r="37" customFormat="false" ht="15" hidden="false" customHeight="false" outlineLevel="0" collapsed="false">
      <c r="A37" s="4" t="s">
        <v>852</v>
      </c>
      <c r="B37" s="4" t="s">
        <v>818</v>
      </c>
      <c r="C37" s="4" t="s">
        <v>88</v>
      </c>
      <c r="D37" s="5" t="n">
        <v>8</v>
      </c>
      <c r="E37" s="6" t="n">
        <v>12.18</v>
      </c>
      <c r="F37" s="7" t="n">
        <f aca="false">E37*6</f>
        <v>73.08</v>
      </c>
      <c r="G37" s="7" t="n">
        <f aca="false">E37*12</f>
        <v>146.16</v>
      </c>
      <c r="H37" s="6" t="n">
        <v>15.51</v>
      </c>
      <c r="I37" s="6" t="n">
        <v>144.8</v>
      </c>
      <c r="J37" s="6" t="n">
        <v>144.8</v>
      </c>
      <c r="K37" s="6" t="n">
        <v>19.94</v>
      </c>
      <c r="L37" s="6" t="n">
        <v>19.94</v>
      </c>
      <c r="M37" s="6" t="n">
        <v>3.06</v>
      </c>
      <c r="N37" s="6" t="n">
        <v>3.06</v>
      </c>
      <c r="O37" s="6" t="n">
        <v>1.96</v>
      </c>
      <c r="P37" s="6" t="n">
        <v>2.74</v>
      </c>
      <c r="Q37" s="6" t="n">
        <v>2.74</v>
      </c>
      <c r="R37" s="8" t="n">
        <v>0.4</v>
      </c>
    </row>
    <row r="38" customFormat="false" ht="15" hidden="false" customHeight="false" outlineLevel="0" collapsed="false">
      <c r="A38" s="9" t="s">
        <v>853</v>
      </c>
      <c r="B38" s="9" t="s">
        <v>818</v>
      </c>
      <c r="C38" s="9" t="s">
        <v>88</v>
      </c>
      <c r="D38" s="10" t="n">
        <v>10</v>
      </c>
      <c r="E38" s="11" t="n">
        <v>15.04</v>
      </c>
      <c r="F38" s="12" t="n">
        <f aca="false">E38*6</f>
        <v>90.24</v>
      </c>
      <c r="G38" s="12" t="n">
        <f aca="false">E38*12</f>
        <v>180.48</v>
      </c>
      <c r="H38" s="11" t="n">
        <v>19.15</v>
      </c>
      <c r="I38" s="11" t="n">
        <v>176.64</v>
      </c>
      <c r="J38" s="11" t="n">
        <v>176.64</v>
      </c>
      <c r="K38" s="11" t="n">
        <v>24.61</v>
      </c>
      <c r="L38" s="11" t="n">
        <v>24.61</v>
      </c>
      <c r="M38" s="11" t="n">
        <v>3.04</v>
      </c>
      <c r="N38" s="11" t="n">
        <v>3.04</v>
      </c>
      <c r="O38" s="11" t="n">
        <v>1.95</v>
      </c>
      <c r="P38" s="11" t="n">
        <v>2.82</v>
      </c>
      <c r="Q38" s="11" t="n">
        <v>2.82</v>
      </c>
      <c r="R38" s="13" t="n">
        <v>0.4</v>
      </c>
    </row>
    <row r="39" customFormat="false" ht="15" hidden="false" customHeight="false" outlineLevel="0" collapsed="false">
      <c r="A39" s="4" t="s">
        <v>854</v>
      </c>
      <c r="B39" s="4" t="s">
        <v>818</v>
      </c>
      <c r="C39" s="4" t="s">
        <v>88</v>
      </c>
      <c r="D39" s="5" t="n">
        <v>12</v>
      </c>
      <c r="E39" s="6" t="n">
        <v>17.83</v>
      </c>
      <c r="F39" s="7" t="n">
        <f aca="false">E39*6</f>
        <v>106.98</v>
      </c>
      <c r="G39" s="7" t="n">
        <f aca="false">E39*12</f>
        <v>213.96</v>
      </c>
      <c r="H39" s="6" t="n">
        <v>22.71</v>
      </c>
      <c r="I39" s="6" t="n">
        <v>206.65</v>
      </c>
      <c r="J39" s="6" t="n">
        <v>206.65</v>
      </c>
      <c r="K39" s="6" t="n">
        <v>29.12</v>
      </c>
      <c r="L39" s="6" t="n">
        <v>29.12</v>
      </c>
      <c r="M39" s="6" t="n">
        <v>3.02</v>
      </c>
      <c r="N39" s="6" t="n">
        <v>3.02</v>
      </c>
      <c r="O39" s="6" t="n">
        <v>1.94</v>
      </c>
      <c r="P39" s="6" t="n">
        <v>2.9</v>
      </c>
      <c r="Q39" s="6" t="n">
        <v>2.9</v>
      </c>
      <c r="R39" s="8" t="n">
        <v>0.4</v>
      </c>
    </row>
    <row r="40" customFormat="false" ht="15" hidden="false" customHeight="false" outlineLevel="0" collapsed="false">
      <c r="A40" s="9" t="s">
        <v>855</v>
      </c>
      <c r="B40" s="9" t="s">
        <v>818</v>
      </c>
      <c r="C40" s="9" t="s">
        <v>95</v>
      </c>
      <c r="D40" s="10" t="n">
        <v>10</v>
      </c>
      <c r="E40" s="11" t="n">
        <v>18.2</v>
      </c>
      <c r="F40" s="12" t="n">
        <f aca="false">E40*6</f>
        <v>109.2</v>
      </c>
      <c r="G40" s="12" t="n">
        <f aca="false">E40*12</f>
        <v>218.4</v>
      </c>
      <c r="H40" s="11" t="n">
        <v>23.18</v>
      </c>
      <c r="I40" s="11" t="n">
        <v>312.87</v>
      </c>
      <c r="J40" s="11" t="n">
        <v>312.87</v>
      </c>
      <c r="K40" s="11" t="n">
        <v>36.02</v>
      </c>
      <c r="L40" s="11" t="n">
        <v>36.02</v>
      </c>
      <c r="M40" s="11" t="n">
        <v>3.67</v>
      </c>
      <c r="N40" s="11" t="n">
        <v>3.67</v>
      </c>
      <c r="O40" s="11" t="n">
        <v>2.36</v>
      </c>
      <c r="P40" s="11" t="n">
        <v>3.31</v>
      </c>
      <c r="Q40" s="11" t="n">
        <v>3.31</v>
      </c>
      <c r="R40" s="13" t="n">
        <v>0.48</v>
      </c>
    </row>
    <row r="41" customFormat="false" ht="15" hidden="false" customHeight="false" outlineLevel="0" collapsed="false">
      <c r="A41" s="4" t="s">
        <v>856</v>
      </c>
      <c r="B41" s="4" t="s">
        <v>818</v>
      </c>
      <c r="C41" s="4" t="s">
        <v>95</v>
      </c>
      <c r="D41" s="5" t="n">
        <v>12</v>
      </c>
      <c r="E41" s="6" t="n">
        <v>21.62</v>
      </c>
      <c r="F41" s="7" t="n">
        <f aca="false">E41*6</f>
        <v>129.72</v>
      </c>
      <c r="G41" s="7" t="n">
        <f aca="false">E41*12</f>
        <v>259.44</v>
      </c>
      <c r="H41" s="6" t="n">
        <v>27.54</v>
      </c>
      <c r="I41" s="6" t="n">
        <v>367.6</v>
      </c>
      <c r="J41" s="6" t="n">
        <v>367.6</v>
      </c>
      <c r="K41" s="6" t="n">
        <v>42.73</v>
      </c>
      <c r="L41" s="6" t="n">
        <v>42.73</v>
      </c>
      <c r="M41" s="6" t="n">
        <v>3.65</v>
      </c>
      <c r="N41" s="6" t="n">
        <v>3.65</v>
      </c>
      <c r="O41" s="6" t="n">
        <v>2.35</v>
      </c>
      <c r="P41" s="6" t="n">
        <v>3.4</v>
      </c>
      <c r="Q41" s="6" t="n">
        <v>3.4</v>
      </c>
      <c r="R41" s="8" t="n">
        <v>0.48</v>
      </c>
    </row>
    <row r="42" customFormat="false" ht="15" hidden="false" customHeight="false" outlineLevel="0" collapsed="false">
      <c r="A42" s="9" t="s">
        <v>857</v>
      </c>
      <c r="B42" s="9" t="s">
        <v>818</v>
      </c>
      <c r="C42" s="9" t="s">
        <v>858</v>
      </c>
      <c r="D42" s="10" t="n">
        <v>12</v>
      </c>
      <c r="E42" s="11" t="n">
        <v>23.53</v>
      </c>
      <c r="F42" s="12" t="n">
        <f aca="false">E42*6</f>
        <v>141.18</v>
      </c>
      <c r="G42" s="12" t="n">
        <f aca="false">E42*12</f>
        <v>282.36</v>
      </c>
      <c r="H42" s="11" t="n">
        <v>29.97</v>
      </c>
      <c r="I42" s="11" t="n">
        <v>472.08</v>
      </c>
      <c r="J42" s="11" t="n">
        <v>472.08</v>
      </c>
      <c r="K42" s="11" t="n">
        <v>50.43</v>
      </c>
      <c r="L42" s="11" t="n">
        <v>50.43</v>
      </c>
      <c r="M42" s="11" t="n">
        <v>3.97</v>
      </c>
      <c r="N42" s="11" t="n">
        <v>3.97</v>
      </c>
      <c r="O42" s="11" t="n">
        <v>2.55</v>
      </c>
      <c r="P42" s="11" t="n">
        <v>3.64</v>
      </c>
      <c r="Q42" s="11" t="n">
        <v>3.64</v>
      </c>
      <c r="R42" s="13" t="n">
        <v>0.52</v>
      </c>
    </row>
    <row r="43" customFormat="false" ht="15" hidden="false" customHeight="false" outlineLevel="0" collapsed="false">
      <c r="A43" s="4" t="s">
        <v>859</v>
      </c>
      <c r="B43" s="4" t="s">
        <v>818</v>
      </c>
      <c r="C43" s="4" t="s">
        <v>107</v>
      </c>
      <c r="D43" s="5" t="n">
        <v>10</v>
      </c>
      <c r="E43" s="6" t="n">
        <v>22.98</v>
      </c>
      <c r="F43" s="7" t="n">
        <f aca="false">E43*6</f>
        <v>137.88</v>
      </c>
      <c r="G43" s="7" t="n">
        <f aca="false">E43*12</f>
        <v>275.76</v>
      </c>
      <c r="H43" s="6" t="n">
        <v>29.27</v>
      </c>
      <c r="I43" s="6" t="n">
        <v>623.87</v>
      </c>
      <c r="J43" s="6" t="n">
        <v>623.87</v>
      </c>
      <c r="K43" s="6" t="n">
        <v>56.89</v>
      </c>
      <c r="L43" s="6" t="n">
        <v>56.89</v>
      </c>
      <c r="M43" s="6" t="n">
        <v>4.62</v>
      </c>
      <c r="N43" s="6" t="n">
        <v>4.62</v>
      </c>
      <c r="O43" s="6" t="n">
        <v>2.97</v>
      </c>
      <c r="P43" s="6" t="n">
        <v>4.03</v>
      </c>
      <c r="Q43" s="6" t="n">
        <v>4.03</v>
      </c>
      <c r="R43" s="8" t="n">
        <v>0.6</v>
      </c>
    </row>
    <row r="44" customFormat="false" ht="15" hidden="false" customHeight="false" outlineLevel="0" collapsed="false">
      <c r="A44" s="9" t="s">
        <v>860</v>
      </c>
      <c r="B44" s="9" t="s">
        <v>818</v>
      </c>
      <c r="C44" s="9" t="s">
        <v>107</v>
      </c>
      <c r="D44" s="10" t="n">
        <v>12</v>
      </c>
      <c r="E44" s="11" t="n">
        <v>27.34</v>
      </c>
      <c r="F44" s="12" t="n">
        <f aca="false">E44*6</f>
        <v>164.04</v>
      </c>
      <c r="G44" s="12" t="n">
        <f aca="false">E44*12</f>
        <v>328.08</v>
      </c>
      <c r="H44" s="11" t="n">
        <v>34.83</v>
      </c>
      <c r="I44" s="11" t="n">
        <v>736.75</v>
      </c>
      <c r="J44" s="11" t="n">
        <v>736.75</v>
      </c>
      <c r="K44" s="11" t="n">
        <v>67.73</v>
      </c>
      <c r="L44" s="11" t="n">
        <v>67.73</v>
      </c>
      <c r="M44" s="11" t="n">
        <v>4.6</v>
      </c>
      <c r="N44" s="11" t="n">
        <v>4.6</v>
      </c>
      <c r="O44" s="11" t="n">
        <v>2.95</v>
      </c>
      <c r="P44" s="11" t="n">
        <v>4.12</v>
      </c>
      <c r="Q44" s="11" t="n">
        <v>4.12</v>
      </c>
      <c r="R44" s="13" t="n">
        <v>0.6</v>
      </c>
    </row>
    <row r="45" customFormat="false" ht="15" hidden="false" customHeight="false" outlineLevel="0" collapsed="false">
      <c r="A45" s="4" t="s">
        <v>861</v>
      </c>
      <c r="B45" s="4" t="s">
        <v>818</v>
      </c>
      <c r="C45" s="4" t="s">
        <v>107</v>
      </c>
      <c r="D45" s="5" t="n">
        <v>15</v>
      </c>
      <c r="E45" s="6" t="n">
        <v>33.77</v>
      </c>
      <c r="F45" s="7" t="n">
        <f aca="false">E45*6</f>
        <v>202.62</v>
      </c>
      <c r="G45" s="7" t="n">
        <f aca="false">E45*12</f>
        <v>405.24</v>
      </c>
      <c r="H45" s="6" t="n">
        <v>43.02</v>
      </c>
      <c r="I45" s="6" t="n">
        <v>897.89</v>
      </c>
      <c r="J45" s="6" t="n">
        <v>897.89</v>
      </c>
      <c r="K45" s="6" t="n">
        <v>83.5</v>
      </c>
      <c r="L45" s="6" t="n">
        <v>83.5</v>
      </c>
      <c r="M45" s="6" t="n">
        <v>4.57</v>
      </c>
      <c r="N45" s="6" t="n">
        <v>4.57</v>
      </c>
      <c r="O45" s="6" t="n">
        <v>2.93</v>
      </c>
      <c r="P45" s="6" t="n">
        <v>4.25</v>
      </c>
      <c r="Q45" s="6" t="n">
        <v>4.25</v>
      </c>
      <c r="R45" s="8" t="n">
        <v>0.6</v>
      </c>
    </row>
    <row r="46" customFormat="false" ht="15" hidden="false" customHeight="false" outlineLevel="0" collapsed="false">
      <c r="A46" s="9" t="s">
        <v>862</v>
      </c>
      <c r="B46" s="9" t="s">
        <v>818</v>
      </c>
      <c r="C46" s="9" t="s">
        <v>113</v>
      </c>
      <c r="D46" s="10" t="n">
        <v>15</v>
      </c>
      <c r="E46" s="11" t="n">
        <v>36.16</v>
      </c>
      <c r="F46" s="12" t="n">
        <f aca="false">E46*6</f>
        <v>216.96</v>
      </c>
      <c r="G46" s="12" t="n">
        <f aca="false">E46*12</f>
        <v>433.92</v>
      </c>
      <c r="H46" s="11" t="n">
        <v>46.06</v>
      </c>
      <c r="I46" s="11" t="n">
        <v>1098.62</v>
      </c>
      <c r="J46" s="11" t="n">
        <v>1098.62</v>
      </c>
      <c r="K46" s="11" t="n">
        <v>95.45</v>
      </c>
      <c r="L46" s="11" t="n">
        <v>95.45</v>
      </c>
      <c r="M46" s="11" t="n">
        <v>4.88</v>
      </c>
      <c r="N46" s="11" t="n">
        <v>4.88</v>
      </c>
      <c r="O46" s="11" t="n">
        <v>3.13</v>
      </c>
      <c r="P46" s="11" t="n">
        <v>4.49</v>
      </c>
      <c r="Q46" s="11" t="n">
        <v>4.49</v>
      </c>
      <c r="R46" s="13" t="n">
        <v>0.64</v>
      </c>
    </row>
    <row r="47" customFormat="false" ht="15" hidden="false" customHeight="false" outlineLevel="0" collapsed="false">
      <c r="A47" s="4" t="s">
        <v>863</v>
      </c>
      <c r="B47" s="4" t="s">
        <v>818</v>
      </c>
      <c r="C47" s="4" t="s">
        <v>119</v>
      </c>
      <c r="D47" s="5" t="n">
        <v>16</v>
      </c>
      <c r="E47" s="6" t="n">
        <v>43.48</v>
      </c>
      <c r="F47" s="7" t="n">
        <f aca="false">E47*6</f>
        <v>260.88</v>
      </c>
      <c r="G47" s="7" t="n">
        <f aca="false">E47*12</f>
        <v>521.76</v>
      </c>
      <c r="H47" s="6" t="n">
        <v>55.39</v>
      </c>
      <c r="I47" s="6" t="n">
        <v>1682.13</v>
      </c>
      <c r="J47" s="6" t="n">
        <v>1682.13</v>
      </c>
      <c r="K47" s="6" t="n">
        <v>129.63</v>
      </c>
      <c r="L47" s="6" t="n">
        <v>129.63</v>
      </c>
      <c r="M47" s="6" t="n">
        <v>5.51</v>
      </c>
      <c r="N47" s="6" t="n">
        <v>5.51</v>
      </c>
      <c r="O47" s="6" t="n">
        <v>3.53</v>
      </c>
      <c r="P47" s="6" t="n">
        <v>5.02</v>
      </c>
      <c r="Q47" s="6" t="n">
        <v>5.02</v>
      </c>
      <c r="R47" s="8" t="n">
        <v>0.72</v>
      </c>
    </row>
    <row r="48" customFormat="false" ht="15" hidden="false" customHeight="false" outlineLevel="0" collapsed="false">
      <c r="A48" s="9" t="s">
        <v>864</v>
      </c>
      <c r="B48" s="9" t="s">
        <v>818</v>
      </c>
      <c r="C48" s="9" t="s">
        <v>119</v>
      </c>
      <c r="D48" s="10" t="n">
        <v>18</v>
      </c>
      <c r="E48" s="11" t="n">
        <v>48.6</v>
      </c>
      <c r="F48" s="12" t="n">
        <f aca="false">E48*6</f>
        <v>291.6</v>
      </c>
      <c r="G48" s="12" t="n">
        <f aca="false">E48*12</f>
        <v>583.2</v>
      </c>
      <c r="H48" s="11" t="n">
        <v>61.91</v>
      </c>
      <c r="I48" s="11" t="n">
        <v>1865.31</v>
      </c>
      <c r="J48" s="11" t="n">
        <v>1865.31</v>
      </c>
      <c r="K48" s="11" t="n">
        <v>144.64</v>
      </c>
      <c r="L48" s="11" t="n">
        <v>144.64</v>
      </c>
      <c r="M48" s="11" t="n">
        <v>5.49</v>
      </c>
      <c r="N48" s="11" t="n">
        <v>5.49</v>
      </c>
      <c r="O48" s="11" t="n">
        <v>3.52</v>
      </c>
      <c r="P48" s="11" t="n">
        <v>5.1</v>
      </c>
      <c r="Q48" s="11" t="n">
        <v>5.1</v>
      </c>
      <c r="R48" s="13" t="n">
        <v>0.72</v>
      </c>
    </row>
    <row r="49" customFormat="false" ht="15" hidden="false" customHeight="false" outlineLevel="0" collapsed="false">
      <c r="A49" s="4" t="s">
        <v>865</v>
      </c>
      <c r="B49" s="4" t="s">
        <v>818</v>
      </c>
      <c r="C49" s="4" t="s">
        <v>125</v>
      </c>
      <c r="D49" s="5" t="n">
        <v>16</v>
      </c>
      <c r="E49" s="6" t="n">
        <v>48.5</v>
      </c>
      <c r="F49" s="7" t="n">
        <f aca="false">E49*6</f>
        <v>291</v>
      </c>
      <c r="G49" s="7" t="n">
        <f aca="false">E49*12</f>
        <v>582</v>
      </c>
      <c r="H49" s="6" t="n">
        <v>61.79</v>
      </c>
      <c r="I49" s="6" t="n">
        <v>2340.98</v>
      </c>
      <c r="J49" s="6" t="n">
        <v>2340.98</v>
      </c>
      <c r="K49" s="6" t="n">
        <v>161.7</v>
      </c>
      <c r="L49" s="6" t="n">
        <v>161.7</v>
      </c>
      <c r="M49" s="6" t="n">
        <v>6.16</v>
      </c>
      <c r="N49" s="6" t="n">
        <v>6.16</v>
      </c>
      <c r="O49" s="6" t="n">
        <v>3.94</v>
      </c>
      <c r="P49" s="6" t="n">
        <v>5.52</v>
      </c>
      <c r="Q49" s="6" t="n">
        <v>5.52</v>
      </c>
      <c r="R49" s="8" t="n">
        <v>0.8</v>
      </c>
    </row>
    <row r="50" customFormat="false" ht="15" hidden="false" customHeight="false" outlineLevel="0" collapsed="false">
      <c r="A50" s="9" t="s">
        <v>866</v>
      </c>
      <c r="B50" s="9" t="s">
        <v>818</v>
      </c>
      <c r="C50" s="9" t="s">
        <v>125</v>
      </c>
      <c r="D50" s="10" t="n">
        <v>18</v>
      </c>
      <c r="E50" s="11" t="n">
        <v>54.25</v>
      </c>
      <c r="F50" s="12" t="n">
        <f aca="false">E50*6</f>
        <v>325.5</v>
      </c>
      <c r="G50" s="12" t="n">
        <f aca="false">E50*12</f>
        <v>651</v>
      </c>
      <c r="H50" s="11" t="n">
        <v>69.11</v>
      </c>
      <c r="I50" s="11" t="n">
        <v>2599.37</v>
      </c>
      <c r="J50" s="11" t="n">
        <v>2599.37</v>
      </c>
      <c r="K50" s="11" t="n">
        <v>180.56</v>
      </c>
      <c r="L50" s="11" t="n">
        <v>180.56</v>
      </c>
      <c r="M50" s="11" t="n">
        <v>6.13</v>
      </c>
      <c r="N50" s="11" t="n">
        <v>6.13</v>
      </c>
      <c r="O50" s="11" t="n">
        <v>3.93</v>
      </c>
      <c r="P50" s="11" t="n">
        <v>5.6</v>
      </c>
      <c r="Q50" s="11" t="n">
        <v>5.6</v>
      </c>
      <c r="R50" s="13" t="n">
        <v>0.8</v>
      </c>
    </row>
    <row r="51" customFormat="false" ht="15" hidden="false" customHeight="false" outlineLevel="0" collapsed="false">
      <c r="A51" s="4" t="s">
        <v>867</v>
      </c>
      <c r="B51" s="4" t="s">
        <v>818</v>
      </c>
      <c r="C51" s="4" t="s">
        <v>125</v>
      </c>
      <c r="D51" s="5" t="n">
        <v>20</v>
      </c>
      <c r="E51" s="6" t="n">
        <v>59.93</v>
      </c>
      <c r="F51" s="7" t="n">
        <f aca="false">E51*6</f>
        <v>359.58</v>
      </c>
      <c r="G51" s="7" t="n">
        <f aca="false">E51*12</f>
        <v>719.16</v>
      </c>
      <c r="H51" s="6" t="n">
        <v>76.35</v>
      </c>
      <c r="I51" s="6" t="n">
        <v>2850.22</v>
      </c>
      <c r="J51" s="6" t="n">
        <v>2850.22</v>
      </c>
      <c r="K51" s="6" t="n">
        <v>199.08</v>
      </c>
      <c r="L51" s="6" t="n">
        <v>199.08</v>
      </c>
      <c r="M51" s="6" t="n">
        <v>6.11</v>
      </c>
      <c r="N51" s="6" t="n">
        <v>6.11</v>
      </c>
      <c r="O51" s="6" t="n">
        <v>3.92</v>
      </c>
      <c r="P51" s="6" t="n">
        <v>5.68</v>
      </c>
      <c r="Q51" s="6" t="n">
        <v>5.68</v>
      </c>
      <c r="R51" s="8" t="n">
        <v>0.8</v>
      </c>
    </row>
    <row r="52" customFormat="false" ht="15" hidden="false" customHeight="false" outlineLevel="0" collapsed="false">
      <c r="A52" s="9" t="s">
        <v>868</v>
      </c>
      <c r="B52" s="9" t="s">
        <v>818</v>
      </c>
      <c r="C52" s="9" t="s">
        <v>125</v>
      </c>
      <c r="D52" s="10" t="n">
        <v>24</v>
      </c>
      <c r="E52" s="11" t="n">
        <v>71.11</v>
      </c>
      <c r="F52" s="12" t="n">
        <f aca="false">E52*6</f>
        <v>426.66</v>
      </c>
      <c r="G52" s="12" t="n">
        <f aca="false">E52*12</f>
        <v>853.32</v>
      </c>
      <c r="H52" s="11" t="n">
        <v>90.59</v>
      </c>
      <c r="I52" s="11" t="n">
        <v>3330.31</v>
      </c>
      <c r="J52" s="11" t="n">
        <v>3330.31</v>
      </c>
      <c r="K52" s="11" t="n">
        <v>235.15</v>
      </c>
      <c r="L52" s="11" t="n">
        <v>235.15</v>
      </c>
      <c r="M52" s="11" t="n">
        <v>6.06</v>
      </c>
      <c r="N52" s="11" t="n">
        <v>6.06</v>
      </c>
      <c r="O52" s="11" t="n">
        <v>3.9</v>
      </c>
      <c r="P52" s="11" t="n">
        <v>5.84</v>
      </c>
      <c r="Q52" s="11" t="n">
        <v>5.84</v>
      </c>
      <c r="R52" s="13" t="n">
        <v>0.8</v>
      </c>
    </row>
    <row r="53" customFormat="false" ht="15" hidden="false" customHeight="false" outlineLevel="0" collapsed="false">
      <c r="A53" s="4" t="s">
        <v>869</v>
      </c>
      <c r="B53" s="4" t="s">
        <v>870</v>
      </c>
      <c r="C53" s="4" t="s">
        <v>176</v>
      </c>
      <c r="D53" s="5" t="n">
        <v>3</v>
      </c>
      <c r="E53" s="6" t="n">
        <v>1.12</v>
      </c>
      <c r="F53" s="7" t="n">
        <f aca="false">E53*6</f>
        <v>6.72</v>
      </c>
      <c r="G53" s="7" t="n">
        <f aca="false">E53*12</f>
        <v>13.44</v>
      </c>
      <c r="H53" s="6" t="n">
        <v>1.42</v>
      </c>
      <c r="I53" s="6" t="n">
        <v>1.26</v>
      </c>
      <c r="J53" s="6" t="n">
        <v>0.44</v>
      </c>
      <c r="K53" s="6" t="n">
        <v>0.63</v>
      </c>
      <c r="L53" s="6" t="n">
        <v>0.3</v>
      </c>
      <c r="M53" s="6" t="n">
        <v>0.94</v>
      </c>
      <c r="N53" s="6" t="n">
        <v>0.56</v>
      </c>
      <c r="O53" s="6" t="n">
        <v>0.43</v>
      </c>
      <c r="P53" s="6" t="n">
        <v>1</v>
      </c>
      <c r="Q53" s="6" t="n">
        <v>0.51</v>
      </c>
      <c r="R53" s="8" t="n">
        <v>0.1</v>
      </c>
    </row>
    <row r="54" customFormat="false" ht="15" hidden="false" customHeight="false" outlineLevel="0" collapsed="false">
      <c r="A54" s="9" t="s">
        <v>871</v>
      </c>
      <c r="B54" s="9" t="s">
        <v>870</v>
      </c>
      <c r="C54" s="9" t="s">
        <v>176</v>
      </c>
      <c r="D54" s="10" t="n">
        <v>4</v>
      </c>
      <c r="E54" s="11" t="n">
        <v>1.45</v>
      </c>
      <c r="F54" s="12" t="n">
        <f aca="false">E54*6</f>
        <v>8.7</v>
      </c>
      <c r="G54" s="12" t="n">
        <f aca="false">E54*12</f>
        <v>17.4</v>
      </c>
      <c r="H54" s="11" t="n">
        <v>1.85</v>
      </c>
      <c r="I54" s="11" t="n">
        <v>1.6</v>
      </c>
      <c r="J54" s="11" t="n">
        <v>0.56</v>
      </c>
      <c r="K54" s="11" t="n">
        <v>0.81</v>
      </c>
      <c r="L54" s="11" t="n">
        <v>0.38</v>
      </c>
      <c r="M54" s="11" t="n">
        <v>0.93</v>
      </c>
      <c r="N54" s="11" t="n">
        <v>0.55</v>
      </c>
      <c r="O54" s="11" t="n">
        <v>0.42</v>
      </c>
      <c r="P54" s="11" t="n">
        <v>1.04</v>
      </c>
      <c r="Q54" s="11" t="n">
        <v>0.54</v>
      </c>
      <c r="R54" s="13" t="n">
        <v>0.1</v>
      </c>
    </row>
    <row r="55" customFormat="false" ht="15" hidden="false" customHeight="false" outlineLevel="0" collapsed="false">
      <c r="A55" s="4" t="s">
        <v>872</v>
      </c>
      <c r="B55" s="4" t="s">
        <v>870</v>
      </c>
      <c r="C55" s="4" t="s">
        <v>191</v>
      </c>
      <c r="D55" s="5" t="n">
        <v>3</v>
      </c>
      <c r="E55" s="6" t="n">
        <v>1.35</v>
      </c>
      <c r="F55" s="7" t="n">
        <f aca="false">E55*6</f>
        <v>8.1</v>
      </c>
      <c r="G55" s="7" t="n">
        <f aca="false">E55*12</f>
        <v>16.2</v>
      </c>
      <c r="H55" s="6" t="n">
        <v>1.72</v>
      </c>
      <c r="I55" s="6" t="n">
        <v>2.81</v>
      </c>
      <c r="J55" s="6" t="n">
        <v>0.48</v>
      </c>
      <c r="K55" s="6" t="n">
        <v>1.09</v>
      </c>
      <c r="L55" s="6" t="n">
        <v>0.31</v>
      </c>
      <c r="M55" s="6" t="n">
        <v>1.28</v>
      </c>
      <c r="N55" s="6" t="n">
        <v>0.53</v>
      </c>
      <c r="O55" s="6" t="n">
        <v>0.42</v>
      </c>
      <c r="P55" s="6" t="n">
        <v>1.43</v>
      </c>
      <c r="Q55" s="6" t="n">
        <v>0.44</v>
      </c>
      <c r="R55" s="8" t="n">
        <v>0.12</v>
      </c>
    </row>
    <row r="56" customFormat="false" ht="15" hidden="false" customHeight="false" outlineLevel="0" collapsed="false">
      <c r="A56" s="9" t="s">
        <v>873</v>
      </c>
      <c r="B56" s="9" t="s">
        <v>870</v>
      </c>
      <c r="C56" s="9" t="s">
        <v>191</v>
      </c>
      <c r="D56" s="10" t="n">
        <v>4</v>
      </c>
      <c r="E56" s="11" t="n">
        <v>1.77</v>
      </c>
      <c r="F56" s="12" t="n">
        <f aca="false">E56*6</f>
        <v>10.62</v>
      </c>
      <c r="G56" s="12" t="n">
        <f aca="false">E56*12</f>
        <v>21.24</v>
      </c>
      <c r="H56" s="11" t="n">
        <v>2.25</v>
      </c>
      <c r="I56" s="11" t="n">
        <v>3.6</v>
      </c>
      <c r="J56" s="11" t="n">
        <v>0.6</v>
      </c>
      <c r="K56" s="11" t="n">
        <v>1.43</v>
      </c>
      <c r="L56" s="11" t="n">
        <v>0.4</v>
      </c>
      <c r="M56" s="11" t="n">
        <v>1.27</v>
      </c>
      <c r="N56" s="11" t="n">
        <v>0.52</v>
      </c>
      <c r="O56" s="11" t="n">
        <v>0.42</v>
      </c>
      <c r="P56" s="11" t="n">
        <v>1.47</v>
      </c>
      <c r="Q56" s="11" t="n">
        <v>0.48</v>
      </c>
      <c r="R56" s="13" t="n">
        <v>0.12</v>
      </c>
    </row>
    <row r="57" customFormat="false" ht="15" hidden="false" customHeight="false" outlineLevel="0" collapsed="false">
      <c r="A57" s="4" t="s">
        <v>874</v>
      </c>
      <c r="B57" s="4" t="s">
        <v>870</v>
      </c>
      <c r="C57" s="4" t="s">
        <v>875</v>
      </c>
      <c r="D57" s="5" t="n">
        <v>4</v>
      </c>
      <c r="E57" s="6" t="n">
        <v>1.92</v>
      </c>
      <c r="F57" s="7" t="n">
        <f aca="false">E57*6</f>
        <v>11.52</v>
      </c>
      <c r="G57" s="7" t="n">
        <f aca="false">E57*12</f>
        <v>23.04</v>
      </c>
      <c r="H57" s="6" t="n">
        <v>2.45</v>
      </c>
      <c r="I57" s="6" t="n">
        <v>3.91</v>
      </c>
      <c r="J57" s="6" t="n">
        <v>1.17</v>
      </c>
      <c r="K57" s="6" t="n">
        <v>1.48</v>
      </c>
      <c r="L57" s="6" t="n">
        <v>0.63</v>
      </c>
      <c r="M57" s="6" t="n">
        <v>1.26</v>
      </c>
      <c r="N57" s="6" t="n">
        <v>0.69</v>
      </c>
      <c r="O57" s="6" t="n">
        <v>0.54</v>
      </c>
      <c r="P57" s="6" t="n">
        <v>1.37</v>
      </c>
      <c r="Q57" s="6" t="n">
        <v>0.63</v>
      </c>
      <c r="R57" s="8" t="n">
        <v>0.13</v>
      </c>
    </row>
    <row r="58" customFormat="false" ht="15" hidden="false" customHeight="false" outlineLevel="0" collapsed="false">
      <c r="A58" s="9" t="s">
        <v>876</v>
      </c>
      <c r="B58" s="9" t="s">
        <v>870</v>
      </c>
      <c r="C58" s="9" t="s">
        <v>877</v>
      </c>
      <c r="D58" s="10" t="n">
        <v>4</v>
      </c>
      <c r="E58" s="11" t="n">
        <v>2.25</v>
      </c>
      <c r="F58" s="12" t="n">
        <f aca="false">E58*6</f>
        <v>13.5</v>
      </c>
      <c r="G58" s="12" t="n">
        <f aca="false">E58*12</f>
        <v>27</v>
      </c>
      <c r="H58" s="11" t="n">
        <v>2.86</v>
      </c>
      <c r="I58" s="11" t="n">
        <v>5.75</v>
      </c>
      <c r="J58" s="11" t="n">
        <v>2.04</v>
      </c>
      <c r="K58" s="11" t="n">
        <v>1.9</v>
      </c>
      <c r="L58" s="11" t="n">
        <v>0.9</v>
      </c>
      <c r="M58" s="11" t="n">
        <v>1.42</v>
      </c>
      <c r="N58" s="11" t="n">
        <v>0.84</v>
      </c>
      <c r="O58" s="11" t="n">
        <v>0.64</v>
      </c>
      <c r="P58" s="11" t="n">
        <v>1.48</v>
      </c>
      <c r="Q58" s="11" t="n">
        <v>0.74</v>
      </c>
      <c r="R58" s="13" t="n">
        <v>0.15</v>
      </c>
    </row>
    <row r="59" customFormat="false" ht="15" hidden="false" customHeight="false" outlineLevel="0" collapsed="false">
      <c r="A59" s="4" t="s">
        <v>878</v>
      </c>
      <c r="B59" s="4" t="s">
        <v>870</v>
      </c>
      <c r="C59" s="4" t="s">
        <v>877</v>
      </c>
      <c r="D59" s="5" t="n">
        <v>5</v>
      </c>
      <c r="E59" s="6" t="n">
        <v>2.76</v>
      </c>
      <c r="F59" s="7" t="n">
        <f aca="false">E59*6</f>
        <v>16.56</v>
      </c>
      <c r="G59" s="7" t="n">
        <f aca="false">E59*12</f>
        <v>33.12</v>
      </c>
      <c r="H59" s="6" t="n">
        <v>3.52</v>
      </c>
      <c r="I59" s="6" t="n">
        <v>6.97</v>
      </c>
      <c r="J59" s="6" t="n">
        <v>2.45</v>
      </c>
      <c r="K59" s="6" t="n">
        <v>2.34</v>
      </c>
      <c r="L59" s="6" t="n">
        <v>1.1</v>
      </c>
      <c r="M59" s="6" t="n">
        <v>1.41</v>
      </c>
      <c r="N59" s="6" t="n">
        <v>0.83</v>
      </c>
      <c r="O59" s="6" t="n">
        <v>0.64</v>
      </c>
      <c r="P59" s="6" t="n">
        <v>1.52</v>
      </c>
      <c r="Q59" s="6" t="n">
        <v>0.78</v>
      </c>
      <c r="R59" s="8" t="n">
        <v>0.15</v>
      </c>
    </row>
    <row r="60" customFormat="false" ht="15" hidden="false" customHeight="false" outlineLevel="0" collapsed="false">
      <c r="A60" s="9" t="s">
        <v>879</v>
      </c>
      <c r="B60" s="9" t="s">
        <v>870</v>
      </c>
      <c r="C60" s="9" t="s">
        <v>215</v>
      </c>
      <c r="D60" s="10" t="n">
        <v>5</v>
      </c>
      <c r="E60" s="11" t="n">
        <v>2.96</v>
      </c>
      <c r="F60" s="12" t="n">
        <f aca="false">E60*6</f>
        <v>17.76</v>
      </c>
      <c r="G60" s="12" t="n">
        <f aca="false">E60*12</f>
        <v>35.52</v>
      </c>
      <c r="H60" s="11" t="n">
        <v>3.77</v>
      </c>
      <c r="I60" s="11" t="n">
        <v>9.38</v>
      </c>
      <c r="J60" s="11" t="n">
        <v>2.53</v>
      </c>
      <c r="K60" s="11" t="n">
        <v>2.87</v>
      </c>
      <c r="L60" s="11" t="n">
        <v>1.12</v>
      </c>
      <c r="M60" s="11" t="n">
        <v>1.58</v>
      </c>
      <c r="N60" s="11" t="n">
        <v>0.82</v>
      </c>
      <c r="O60" s="11" t="n">
        <v>0.64</v>
      </c>
      <c r="P60" s="11" t="n">
        <v>1.73</v>
      </c>
      <c r="Q60" s="11" t="n">
        <v>0.74</v>
      </c>
      <c r="R60" s="13" t="n">
        <v>0.16</v>
      </c>
    </row>
    <row r="61" customFormat="false" ht="15" hidden="false" customHeight="false" outlineLevel="0" collapsed="false">
      <c r="A61" s="4" t="s">
        <v>880</v>
      </c>
      <c r="B61" s="4" t="s">
        <v>870</v>
      </c>
      <c r="C61" s="4" t="s">
        <v>227</v>
      </c>
      <c r="D61" s="5" t="n">
        <v>5</v>
      </c>
      <c r="E61" s="6" t="n">
        <v>3.35</v>
      </c>
      <c r="F61" s="7" t="n">
        <f aca="false">E61*6</f>
        <v>20.1</v>
      </c>
      <c r="G61" s="7" t="n">
        <f aca="false">E61*12</f>
        <v>40.2</v>
      </c>
      <c r="H61" s="6" t="n">
        <v>4.27</v>
      </c>
      <c r="I61" s="6" t="n">
        <v>15.62</v>
      </c>
      <c r="J61" s="6" t="n">
        <v>2.64</v>
      </c>
      <c r="K61" s="6" t="n">
        <v>4.08</v>
      </c>
      <c r="L61" s="6" t="n">
        <v>1.14</v>
      </c>
      <c r="M61" s="6" t="n">
        <v>1.91</v>
      </c>
      <c r="N61" s="6" t="n">
        <v>0.79</v>
      </c>
      <c r="O61" s="6" t="n">
        <v>0.63</v>
      </c>
      <c r="P61" s="6" t="n">
        <v>2.17</v>
      </c>
      <c r="Q61" s="6" t="n">
        <v>0.69</v>
      </c>
      <c r="R61" s="8" t="n">
        <v>0.18</v>
      </c>
    </row>
    <row r="62" customFormat="false" ht="15" hidden="false" customHeight="false" outlineLevel="0" collapsed="false">
      <c r="A62" s="9" t="s">
        <v>881</v>
      </c>
      <c r="B62" s="9" t="s">
        <v>870</v>
      </c>
      <c r="C62" s="9" t="s">
        <v>227</v>
      </c>
      <c r="D62" s="10" t="n">
        <v>6</v>
      </c>
      <c r="E62" s="11" t="n">
        <v>3.97</v>
      </c>
      <c r="F62" s="12" t="n">
        <f aca="false">E62*6</f>
        <v>23.82</v>
      </c>
      <c r="G62" s="12" t="n">
        <f aca="false">E62*12</f>
        <v>47.64</v>
      </c>
      <c r="H62" s="11" t="n">
        <v>5.06</v>
      </c>
      <c r="I62" s="11" t="n">
        <v>18.26</v>
      </c>
      <c r="J62" s="11" t="n">
        <v>3.06</v>
      </c>
      <c r="K62" s="11" t="n">
        <v>4.82</v>
      </c>
      <c r="L62" s="11" t="n">
        <v>1.34</v>
      </c>
      <c r="M62" s="11" t="n">
        <v>1.9</v>
      </c>
      <c r="N62" s="11" t="n">
        <v>0.78</v>
      </c>
      <c r="O62" s="11" t="n">
        <v>0.63</v>
      </c>
      <c r="P62" s="11" t="n">
        <v>2.21</v>
      </c>
      <c r="Q62" s="11" t="n">
        <v>0.72</v>
      </c>
      <c r="R62" s="13" t="n">
        <v>0.18</v>
      </c>
    </row>
    <row r="63" customFormat="false" ht="15" hidden="false" customHeight="false" outlineLevel="0" collapsed="false">
      <c r="A63" s="4" t="s">
        <v>882</v>
      </c>
      <c r="B63" s="4" t="s">
        <v>870</v>
      </c>
      <c r="C63" s="4" t="s">
        <v>233</v>
      </c>
      <c r="D63" s="5" t="n">
        <v>5</v>
      </c>
      <c r="E63" s="6" t="n">
        <v>3.75</v>
      </c>
      <c r="F63" s="7" t="n">
        <f aca="false">E63*6</f>
        <v>22.5</v>
      </c>
      <c r="G63" s="7" t="n">
        <f aca="false">E63*12</f>
        <v>45</v>
      </c>
      <c r="H63" s="6" t="n">
        <v>4.78</v>
      </c>
      <c r="I63" s="6" t="n">
        <v>17.22</v>
      </c>
      <c r="J63" s="6" t="n">
        <v>6.14</v>
      </c>
      <c r="K63" s="6" t="n">
        <v>4.26</v>
      </c>
      <c r="L63" s="6" t="n">
        <v>2.03</v>
      </c>
      <c r="M63" s="6" t="n">
        <v>1.9</v>
      </c>
      <c r="N63" s="6" t="n">
        <v>1.13</v>
      </c>
      <c r="O63" s="6" t="n">
        <v>0.86</v>
      </c>
      <c r="P63" s="6" t="n">
        <v>1.96</v>
      </c>
      <c r="Q63" s="6" t="n">
        <v>0.97</v>
      </c>
      <c r="R63" s="8" t="n">
        <v>0.2</v>
      </c>
    </row>
    <row r="64" customFormat="false" ht="15" hidden="false" customHeight="false" outlineLevel="0" collapsed="false">
      <c r="A64" s="9" t="s">
        <v>883</v>
      </c>
      <c r="B64" s="9" t="s">
        <v>870</v>
      </c>
      <c r="C64" s="9" t="s">
        <v>233</v>
      </c>
      <c r="D64" s="10" t="n">
        <v>6</v>
      </c>
      <c r="E64" s="11" t="n">
        <v>4.45</v>
      </c>
      <c r="F64" s="12" t="n">
        <f aca="false">E64*6</f>
        <v>26.7</v>
      </c>
      <c r="G64" s="12" t="n">
        <f aca="false">E64*12</f>
        <v>53.4</v>
      </c>
      <c r="H64" s="11" t="n">
        <v>5.67</v>
      </c>
      <c r="I64" s="11" t="n">
        <v>20.18</v>
      </c>
      <c r="J64" s="11" t="n">
        <v>7.15</v>
      </c>
      <c r="K64" s="11" t="n">
        <v>5.05</v>
      </c>
      <c r="L64" s="11" t="n">
        <v>2.39</v>
      </c>
      <c r="M64" s="11" t="n">
        <v>1.89</v>
      </c>
      <c r="N64" s="11" t="n">
        <v>1.12</v>
      </c>
      <c r="O64" s="11" t="n">
        <v>0.86</v>
      </c>
      <c r="P64" s="11" t="n">
        <v>2</v>
      </c>
      <c r="Q64" s="11" t="n">
        <v>1.01</v>
      </c>
      <c r="R64" s="13" t="n">
        <v>0.2</v>
      </c>
    </row>
    <row r="65" customFormat="false" ht="15" hidden="false" customHeight="false" outlineLevel="0" collapsed="false">
      <c r="A65" s="4" t="s">
        <v>884</v>
      </c>
      <c r="B65" s="4" t="s">
        <v>870</v>
      </c>
      <c r="C65" s="4" t="s">
        <v>233</v>
      </c>
      <c r="D65" s="5" t="n">
        <v>7</v>
      </c>
      <c r="E65" s="6" t="n">
        <v>5.13</v>
      </c>
      <c r="F65" s="7" t="n">
        <f aca="false">E65*6</f>
        <v>30.78</v>
      </c>
      <c r="G65" s="7" t="n">
        <f aca="false">E65*12</f>
        <v>61.56</v>
      </c>
      <c r="H65" s="6" t="n">
        <v>6.54</v>
      </c>
      <c r="I65" s="6" t="n">
        <v>22.99</v>
      </c>
      <c r="J65" s="6" t="n">
        <v>8.1</v>
      </c>
      <c r="K65" s="6" t="n">
        <v>5.81</v>
      </c>
      <c r="L65" s="6" t="n">
        <v>2.75</v>
      </c>
      <c r="M65" s="6" t="n">
        <v>1.87</v>
      </c>
      <c r="N65" s="6" t="n">
        <v>1.11</v>
      </c>
      <c r="O65" s="6" t="n">
        <v>0.85</v>
      </c>
      <c r="P65" s="6" t="n">
        <v>2.04</v>
      </c>
      <c r="Q65" s="6" t="n">
        <v>1.05</v>
      </c>
      <c r="R65" s="8" t="n">
        <v>0.2</v>
      </c>
    </row>
    <row r="66" customFormat="false" ht="15" hidden="false" customHeight="false" outlineLevel="0" collapsed="false">
      <c r="A66" s="9" t="s">
        <v>885</v>
      </c>
      <c r="B66" s="9" t="s">
        <v>870</v>
      </c>
      <c r="C66" s="9" t="s">
        <v>886</v>
      </c>
      <c r="D66" s="10" t="n">
        <v>5</v>
      </c>
      <c r="E66" s="11" t="n">
        <v>4.35</v>
      </c>
      <c r="F66" s="12" t="n">
        <f aca="false">E66*6</f>
        <v>26.1</v>
      </c>
      <c r="G66" s="12" t="n">
        <f aca="false">E66*12</f>
        <v>52.2</v>
      </c>
      <c r="H66" s="11" t="n">
        <v>5.54</v>
      </c>
      <c r="I66" s="11" t="n">
        <v>23.14</v>
      </c>
      <c r="J66" s="11" t="n">
        <v>11.9</v>
      </c>
      <c r="K66" s="11" t="n">
        <v>5.13</v>
      </c>
      <c r="L66" s="11" t="n">
        <v>3.18</v>
      </c>
      <c r="M66" s="11" t="n">
        <v>2.04</v>
      </c>
      <c r="N66" s="11" t="n">
        <v>1.47</v>
      </c>
      <c r="O66" s="11" t="n">
        <v>1.07</v>
      </c>
      <c r="P66" s="11" t="n">
        <v>1.99</v>
      </c>
      <c r="Q66" s="11" t="n">
        <v>1.25</v>
      </c>
      <c r="R66" s="13" t="n">
        <v>0.23</v>
      </c>
    </row>
    <row r="67" customFormat="false" ht="15" hidden="false" customHeight="false" outlineLevel="0" collapsed="false">
      <c r="A67" s="4" t="s">
        <v>887</v>
      </c>
      <c r="B67" s="4" t="s">
        <v>870</v>
      </c>
      <c r="C67" s="4" t="s">
        <v>886</v>
      </c>
      <c r="D67" s="5" t="n">
        <v>7</v>
      </c>
      <c r="E67" s="6" t="n">
        <v>5.97</v>
      </c>
      <c r="F67" s="7" t="n">
        <f aca="false">E67*6</f>
        <v>35.82</v>
      </c>
      <c r="G67" s="7" t="n">
        <f aca="false">E67*12</f>
        <v>71.64</v>
      </c>
      <c r="H67" s="6" t="n">
        <v>7.6</v>
      </c>
      <c r="I67" s="6" t="n">
        <v>31.06</v>
      </c>
      <c r="J67" s="6" t="n">
        <v>15.88</v>
      </c>
      <c r="K67" s="6" t="n">
        <v>7.02</v>
      </c>
      <c r="L67" s="6" t="n">
        <v>4.33</v>
      </c>
      <c r="M67" s="6" t="n">
        <v>2.02</v>
      </c>
      <c r="N67" s="6" t="n">
        <v>1.45</v>
      </c>
      <c r="O67" s="6" t="n">
        <v>1.06</v>
      </c>
      <c r="P67" s="6" t="n">
        <v>2.07</v>
      </c>
      <c r="Q67" s="6" t="n">
        <v>1.33</v>
      </c>
      <c r="R67" s="8" t="n">
        <v>0.23</v>
      </c>
    </row>
    <row r="68" customFormat="false" ht="15" hidden="false" customHeight="false" outlineLevel="0" collapsed="false">
      <c r="A68" s="9" t="s">
        <v>888</v>
      </c>
      <c r="B68" s="9" t="s">
        <v>870</v>
      </c>
      <c r="C68" s="9" t="s">
        <v>251</v>
      </c>
      <c r="D68" s="10" t="n">
        <v>6</v>
      </c>
      <c r="E68" s="11" t="n">
        <v>5.4</v>
      </c>
      <c r="F68" s="12" t="n">
        <f aca="false">E68*6</f>
        <v>32.4</v>
      </c>
      <c r="G68" s="12" t="n">
        <f aca="false">E68*12</f>
        <v>64.8</v>
      </c>
      <c r="H68" s="11" t="n">
        <v>6.88</v>
      </c>
      <c r="I68" s="11" t="n">
        <v>33.49</v>
      </c>
      <c r="J68" s="11" t="n">
        <v>14.24</v>
      </c>
      <c r="K68" s="11" t="n">
        <v>7.03</v>
      </c>
      <c r="L68" s="11" t="n">
        <v>3.8</v>
      </c>
      <c r="M68" s="11" t="n">
        <v>2.21</v>
      </c>
      <c r="N68" s="11" t="n">
        <v>1.44</v>
      </c>
      <c r="O68" s="11" t="n">
        <v>1.07</v>
      </c>
      <c r="P68" s="11" t="n">
        <v>2.24</v>
      </c>
      <c r="Q68" s="11" t="n">
        <v>1.25</v>
      </c>
      <c r="R68" s="13" t="n">
        <v>0.24</v>
      </c>
    </row>
    <row r="69" customFormat="false" ht="15" hidden="false" customHeight="false" outlineLevel="0" collapsed="false">
      <c r="A69" s="4" t="s">
        <v>889</v>
      </c>
      <c r="B69" s="4" t="s">
        <v>870</v>
      </c>
      <c r="C69" s="4" t="s">
        <v>890</v>
      </c>
      <c r="D69" s="5" t="n">
        <v>6</v>
      </c>
      <c r="E69" s="6" t="n">
        <v>5.64</v>
      </c>
      <c r="F69" s="7" t="n">
        <f aca="false">E69*6</f>
        <v>33.84</v>
      </c>
      <c r="G69" s="7" t="n">
        <f aca="false">E69*12</f>
        <v>67.68</v>
      </c>
      <c r="H69" s="6" t="n">
        <v>7.18</v>
      </c>
      <c r="I69" s="6" t="n">
        <v>40.62</v>
      </c>
      <c r="J69" s="6" t="n">
        <v>14.51</v>
      </c>
      <c r="K69" s="6" t="n">
        <v>8.03</v>
      </c>
      <c r="L69" s="6" t="n">
        <v>3.83</v>
      </c>
      <c r="M69" s="6" t="n">
        <v>2.38</v>
      </c>
      <c r="N69" s="6" t="n">
        <v>1.42</v>
      </c>
      <c r="O69" s="6" t="n">
        <v>1.08</v>
      </c>
      <c r="P69" s="6" t="n">
        <v>2.44</v>
      </c>
      <c r="Q69" s="6" t="n">
        <v>1.21</v>
      </c>
      <c r="R69" s="8" t="n">
        <v>0.25</v>
      </c>
    </row>
    <row r="70" customFormat="false" ht="15" hidden="false" customHeight="false" outlineLevel="0" collapsed="false">
      <c r="A70" s="9" t="s">
        <v>891</v>
      </c>
      <c r="B70" s="9" t="s">
        <v>870</v>
      </c>
      <c r="C70" s="9" t="s">
        <v>890</v>
      </c>
      <c r="D70" s="10" t="n">
        <v>7</v>
      </c>
      <c r="E70" s="11" t="n">
        <v>6.52</v>
      </c>
      <c r="F70" s="12" t="n">
        <f aca="false">E70*6</f>
        <v>39.12</v>
      </c>
      <c r="G70" s="12" t="n">
        <f aca="false">E70*12</f>
        <v>78.24</v>
      </c>
      <c r="H70" s="11" t="n">
        <v>8.3</v>
      </c>
      <c r="I70" s="11" t="n">
        <v>46.49</v>
      </c>
      <c r="J70" s="11" t="n">
        <v>16.53</v>
      </c>
      <c r="K70" s="11" t="n">
        <v>9.27</v>
      </c>
      <c r="L70" s="11" t="n">
        <v>4.41</v>
      </c>
      <c r="M70" s="11" t="n">
        <v>2.37</v>
      </c>
      <c r="N70" s="11" t="n">
        <v>1.41</v>
      </c>
      <c r="O70" s="11" t="n">
        <v>1.08</v>
      </c>
      <c r="P70" s="11" t="n">
        <v>2.49</v>
      </c>
      <c r="Q70" s="11" t="n">
        <v>1.25</v>
      </c>
      <c r="R70" s="13" t="n">
        <v>0.25</v>
      </c>
    </row>
    <row r="71" customFormat="false" ht="15" hidden="false" customHeight="false" outlineLevel="0" collapsed="false">
      <c r="A71" s="4" t="s">
        <v>892</v>
      </c>
      <c r="B71" s="4" t="s">
        <v>870</v>
      </c>
      <c r="C71" s="4" t="s">
        <v>890</v>
      </c>
      <c r="D71" s="5" t="n">
        <v>8</v>
      </c>
      <c r="E71" s="6" t="n">
        <v>7.38</v>
      </c>
      <c r="F71" s="7" t="n">
        <f aca="false">E71*6</f>
        <v>44.28</v>
      </c>
      <c r="G71" s="7" t="n">
        <f aca="false">E71*12</f>
        <v>88.56</v>
      </c>
      <c r="H71" s="6" t="n">
        <v>9.4</v>
      </c>
      <c r="I71" s="6" t="n">
        <v>52.11</v>
      </c>
      <c r="J71" s="6" t="n">
        <v>18.44</v>
      </c>
      <c r="K71" s="6" t="n">
        <v>10.48</v>
      </c>
      <c r="L71" s="6" t="n">
        <v>4.97</v>
      </c>
      <c r="M71" s="6" t="n">
        <v>2.35</v>
      </c>
      <c r="N71" s="6" t="n">
        <v>1.4</v>
      </c>
      <c r="O71" s="6" t="n">
        <v>1.07</v>
      </c>
      <c r="P71" s="6" t="n">
        <v>2.53</v>
      </c>
      <c r="Q71" s="6" t="n">
        <v>1.29</v>
      </c>
      <c r="R71" s="8" t="n">
        <v>0.25</v>
      </c>
    </row>
    <row r="72" customFormat="false" ht="15" hidden="false" customHeight="false" outlineLevel="0" collapsed="false">
      <c r="A72" s="9" t="s">
        <v>893</v>
      </c>
      <c r="B72" s="9" t="s">
        <v>870</v>
      </c>
      <c r="C72" s="9" t="s">
        <v>263</v>
      </c>
      <c r="D72" s="10" t="n">
        <v>6</v>
      </c>
      <c r="E72" s="11" t="n">
        <v>5.39</v>
      </c>
      <c r="F72" s="12" t="n">
        <f aca="false">E72*6</f>
        <v>32.34</v>
      </c>
      <c r="G72" s="12" t="n">
        <f aca="false">E72*12</f>
        <v>64.68</v>
      </c>
      <c r="H72" s="11" t="n">
        <v>6.87</v>
      </c>
      <c r="I72" s="11" t="n">
        <v>45.06</v>
      </c>
      <c r="J72" s="11" t="n">
        <v>7.69</v>
      </c>
      <c r="K72" s="11" t="n">
        <v>8.78</v>
      </c>
      <c r="L72" s="11" t="n">
        <v>2.47</v>
      </c>
      <c r="M72" s="11" t="n">
        <v>2.56</v>
      </c>
      <c r="N72" s="11" t="n">
        <v>1.06</v>
      </c>
      <c r="O72" s="11" t="n">
        <v>0.85</v>
      </c>
      <c r="P72" s="11" t="n">
        <v>2.87</v>
      </c>
      <c r="Q72" s="11" t="n">
        <v>0.89</v>
      </c>
      <c r="R72" s="13" t="n">
        <v>0.24</v>
      </c>
    </row>
    <row r="73" customFormat="false" ht="15" hidden="false" customHeight="false" outlineLevel="0" collapsed="false">
      <c r="A73" s="4" t="s">
        <v>894</v>
      </c>
      <c r="B73" s="4" t="s">
        <v>870</v>
      </c>
      <c r="C73" s="4" t="s">
        <v>263</v>
      </c>
      <c r="D73" s="5" t="n">
        <v>8</v>
      </c>
      <c r="E73" s="6" t="n">
        <v>7.06</v>
      </c>
      <c r="F73" s="7" t="n">
        <f aca="false">E73*6</f>
        <v>42.36</v>
      </c>
      <c r="G73" s="7" t="n">
        <f aca="false">E73*12</f>
        <v>84.72</v>
      </c>
      <c r="H73" s="6" t="n">
        <v>8.99</v>
      </c>
      <c r="I73" s="6" t="n">
        <v>57.76</v>
      </c>
      <c r="J73" s="6" t="n">
        <v>9.7</v>
      </c>
      <c r="K73" s="6" t="n">
        <v>11.44</v>
      </c>
      <c r="L73" s="6" t="n">
        <v>3.2</v>
      </c>
      <c r="M73" s="6" t="n">
        <v>2.53</v>
      </c>
      <c r="N73" s="6" t="n">
        <v>1.04</v>
      </c>
      <c r="O73" s="6" t="n">
        <v>0.84</v>
      </c>
      <c r="P73" s="6" t="n">
        <v>2.95</v>
      </c>
      <c r="Q73" s="6" t="n">
        <v>0.97</v>
      </c>
      <c r="R73" s="8" t="n">
        <v>0.24</v>
      </c>
    </row>
    <row r="74" customFormat="false" ht="15" hidden="false" customHeight="false" outlineLevel="0" collapsed="false">
      <c r="A74" s="9" t="s">
        <v>895</v>
      </c>
      <c r="B74" s="9" t="s">
        <v>870</v>
      </c>
      <c r="C74" s="9" t="s">
        <v>269</v>
      </c>
      <c r="D74" s="10" t="n">
        <v>7</v>
      </c>
      <c r="E74" s="11" t="n">
        <v>7.35</v>
      </c>
      <c r="F74" s="12" t="n">
        <f aca="false">E74*6</f>
        <v>44.1</v>
      </c>
      <c r="G74" s="12" t="n">
        <f aca="false">E74*12</f>
        <v>88.2</v>
      </c>
      <c r="H74" s="11" t="n">
        <v>9.37</v>
      </c>
      <c r="I74" s="11" t="n">
        <v>59.14</v>
      </c>
      <c r="J74" s="11" t="n">
        <v>28.49</v>
      </c>
      <c r="K74" s="11" t="n">
        <v>10.78</v>
      </c>
      <c r="L74" s="11" t="n">
        <v>6.37</v>
      </c>
      <c r="M74" s="11" t="n">
        <v>2.51</v>
      </c>
      <c r="N74" s="11" t="n">
        <v>1.74</v>
      </c>
      <c r="O74" s="11" t="n">
        <v>1.28</v>
      </c>
      <c r="P74" s="11" t="n">
        <v>2.52</v>
      </c>
      <c r="Q74" s="11" t="n">
        <v>1.53</v>
      </c>
      <c r="R74" s="13" t="n">
        <v>0.28</v>
      </c>
    </row>
    <row r="75" customFormat="false" ht="15" hidden="false" customHeight="false" outlineLevel="0" collapsed="false">
      <c r="A75" s="4" t="s">
        <v>896</v>
      </c>
      <c r="B75" s="4" t="s">
        <v>870</v>
      </c>
      <c r="C75" s="4" t="s">
        <v>269</v>
      </c>
      <c r="D75" s="5" t="n">
        <v>8</v>
      </c>
      <c r="E75" s="6" t="n">
        <v>8.33</v>
      </c>
      <c r="F75" s="7" t="n">
        <f aca="false">E75*6</f>
        <v>49.98</v>
      </c>
      <c r="G75" s="7" t="n">
        <f aca="false">E75*12</f>
        <v>99.96</v>
      </c>
      <c r="H75" s="6" t="n">
        <v>10.62</v>
      </c>
      <c r="I75" s="6" t="n">
        <v>66.42</v>
      </c>
      <c r="J75" s="6" t="n">
        <v>31.9</v>
      </c>
      <c r="K75" s="6" t="n">
        <v>12.2</v>
      </c>
      <c r="L75" s="6" t="n">
        <v>7.19</v>
      </c>
      <c r="M75" s="6" t="n">
        <v>2.5</v>
      </c>
      <c r="N75" s="6" t="n">
        <v>1.73</v>
      </c>
      <c r="O75" s="6" t="n">
        <v>1.28</v>
      </c>
      <c r="P75" s="6" t="n">
        <v>2.56</v>
      </c>
      <c r="Q75" s="6" t="n">
        <v>1.57</v>
      </c>
      <c r="R75" s="8" t="n">
        <v>0.28</v>
      </c>
    </row>
    <row r="76" customFormat="false" ht="15" hidden="false" customHeight="false" outlineLevel="0" collapsed="false">
      <c r="A76" s="9" t="s">
        <v>897</v>
      </c>
      <c r="B76" s="9" t="s">
        <v>870</v>
      </c>
      <c r="C76" s="9" t="s">
        <v>302</v>
      </c>
      <c r="D76" s="10" t="n">
        <v>6</v>
      </c>
      <c r="E76" s="11" t="n">
        <v>6.82</v>
      </c>
      <c r="F76" s="12" t="n">
        <f aca="false">E76*6</f>
        <v>40.92</v>
      </c>
      <c r="G76" s="12" t="n">
        <f aca="false">E76*12</f>
        <v>81.84</v>
      </c>
      <c r="H76" s="11" t="n">
        <v>8.68</v>
      </c>
      <c r="I76" s="11" t="n">
        <v>90.18</v>
      </c>
      <c r="J76" s="11" t="n">
        <v>15.58</v>
      </c>
      <c r="K76" s="11" t="n">
        <v>13.93</v>
      </c>
      <c r="L76" s="11" t="n">
        <v>3.95</v>
      </c>
      <c r="M76" s="11" t="n">
        <v>3.22</v>
      </c>
      <c r="N76" s="11" t="n">
        <v>1.34</v>
      </c>
      <c r="O76" s="11" t="n">
        <v>1.07</v>
      </c>
      <c r="P76" s="11" t="n">
        <v>3.53</v>
      </c>
      <c r="Q76" s="11" t="n">
        <v>1.05</v>
      </c>
      <c r="R76" s="13" t="n">
        <v>0.3</v>
      </c>
    </row>
    <row r="77" customFormat="false" ht="15" hidden="false" customHeight="false" outlineLevel="0" collapsed="false">
      <c r="A77" s="4" t="s">
        <v>898</v>
      </c>
      <c r="B77" s="4" t="s">
        <v>870</v>
      </c>
      <c r="C77" s="4" t="s">
        <v>302</v>
      </c>
      <c r="D77" s="5" t="n">
        <v>8</v>
      </c>
      <c r="E77" s="6" t="n">
        <v>8.95</v>
      </c>
      <c r="F77" s="7" t="n">
        <f aca="false">E77*6</f>
        <v>53.7</v>
      </c>
      <c r="G77" s="7" t="n">
        <f aca="false">E77*12</f>
        <v>107.4</v>
      </c>
      <c r="H77" s="6" t="n">
        <v>11.4</v>
      </c>
      <c r="I77" s="6" t="n">
        <v>116.5</v>
      </c>
      <c r="J77" s="6" t="n">
        <v>19.85</v>
      </c>
      <c r="K77" s="6" t="n">
        <v>18.24</v>
      </c>
      <c r="L77" s="6" t="n">
        <v>5.13</v>
      </c>
      <c r="M77" s="6" t="n">
        <v>3.2</v>
      </c>
      <c r="N77" s="6" t="n">
        <v>1.32</v>
      </c>
      <c r="O77" s="6" t="n">
        <v>1.06</v>
      </c>
      <c r="P77" s="6" t="n">
        <v>3.61</v>
      </c>
      <c r="Q77" s="6" t="n">
        <v>1.13</v>
      </c>
      <c r="R77" s="8" t="n">
        <v>0.3</v>
      </c>
    </row>
    <row r="78" customFormat="false" ht="15" hidden="false" customHeight="false" outlineLevel="0" collapsed="false">
      <c r="A78" s="9" t="s">
        <v>899</v>
      </c>
      <c r="B78" s="9" t="s">
        <v>870</v>
      </c>
      <c r="C78" s="9" t="s">
        <v>302</v>
      </c>
      <c r="D78" s="10" t="n">
        <v>10</v>
      </c>
      <c r="E78" s="11" t="n">
        <v>11.02</v>
      </c>
      <c r="F78" s="12" t="n">
        <f aca="false">E78*6</f>
        <v>66.12</v>
      </c>
      <c r="G78" s="12" t="n">
        <f aca="false">E78*12</f>
        <v>132.24</v>
      </c>
      <c r="H78" s="11" t="n">
        <v>14.04</v>
      </c>
      <c r="I78" s="11" t="n">
        <v>141.09</v>
      </c>
      <c r="J78" s="11" t="n">
        <v>23.73</v>
      </c>
      <c r="K78" s="11" t="n">
        <v>22.37</v>
      </c>
      <c r="L78" s="11" t="n">
        <v>6.26</v>
      </c>
      <c r="M78" s="11" t="n">
        <v>3.17</v>
      </c>
      <c r="N78" s="11" t="n">
        <v>1.3</v>
      </c>
      <c r="O78" s="11" t="n">
        <v>1.06</v>
      </c>
      <c r="P78" s="11" t="n">
        <v>3.69</v>
      </c>
      <c r="Q78" s="11" t="n">
        <v>1.21</v>
      </c>
      <c r="R78" s="13" t="n">
        <v>0.3</v>
      </c>
    </row>
    <row r="79" customFormat="false" ht="15" hidden="false" customHeight="false" outlineLevel="0" collapsed="false">
      <c r="A79" s="4" t="s">
        <v>900</v>
      </c>
      <c r="B79" s="4" t="s">
        <v>870</v>
      </c>
      <c r="C79" s="4" t="s">
        <v>901</v>
      </c>
      <c r="D79" s="5" t="n">
        <v>7</v>
      </c>
      <c r="E79" s="6" t="n">
        <v>8.74</v>
      </c>
      <c r="F79" s="7" t="n">
        <f aca="false">E79*6</f>
        <v>52.44</v>
      </c>
      <c r="G79" s="7" t="n">
        <f aca="false">E79*12</f>
        <v>104.88</v>
      </c>
      <c r="H79" s="6" t="n">
        <v>11.13</v>
      </c>
      <c r="I79" s="6" t="n">
        <v>113.05</v>
      </c>
      <c r="J79" s="6" t="n">
        <v>38</v>
      </c>
      <c r="K79" s="6" t="n">
        <v>16.75</v>
      </c>
      <c r="L79" s="6" t="n">
        <v>7.63</v>
      </c>
      <c r="M79" s="6" t="n">
        <v>3.19</v>
      </c>
      <c r="N79" s="6" t="n">
        <v>1.85</v>
      </c>
      <c r="O79" s="6" t="n">
        <v>1.41</v>
      </c>
      <c r="P79" s="6" t="n">
        <v>3.25</v>
      </c>
      <c r="Q79" s="6" t="n">
        <v>1.52</v>
      </c>
      <c r="R79" s="8" t="n">
        <v>0.33</v>
      </c>
    </row>
    <row r="80" customFormat="false" ht="15" hidden="false" customHeight="false" outlineLevel="0" collapsed="false">
      <c r="A80" s="9" t="s">
        <v>902</v>
      </c>
      <c r="B80" s="9" t="s">
        <v>870</v>
      </c>
      <c r="C80" s="9" t="s">
        <v>901</v>
      </c>
      <c r="D80" s="10" t="n">
        <v>8</v>
      </c>
      <c r="E80" s="11" t="n">
        <v>9.91</v>
      </c>
      <c r="F80" s="12" t="n">
        <f aca="false">E80*6</f>
        <v>59.46</v>
      </c>
      <c r="G80" s="12" t="n">
        <f aca="false">E80*12</f>
        <v>118.92</v>
      </c>
      <c r="H80" s="11" t="n">
        <v>12.63</v>
      </c>
      <c r="I80" s="11" t="n">
        <v>127.35</v>
      </c>
      <c r="J80" s="11" t="n">
        <v>42.64</v>
      </c>
      <c r="K80" s="11" t="n">
        <v>18.99</v>
      </c>
      <c r="L80" s="11" t="n">
        <v>8.64</v>
      </c>
      <c r="M80" s="11" t="n">
        <v>3.18</v>
      </c>
      <c r="N80" s="11" t="n">
        <v>1.84</v>
      </c>
      <c r="O80" s="11" t="n">
        <v>1.41</v>
      </c>
      <c r="P80" s="11" t="n">
        <v>3.29</v>
      </c>
      <c r="Q80" s="11" t="n">
        <v>1.56</v>
      </c>
      <c r="R80" s="13" t="n">
        <v>0.33</v>
      </c>
    </row>
    <row r="81" customFormat="false" ht="15" hidden="false" customHeight="false" outlineLevel="0" collapsed="false">
      <c r="A81" s="4" t="s">
        <v>903</v>
      </c>
      <c r="B81" s="4" t="s">
        <v>870</v>
      </c>
      <c r="C81" s="4" t="s">
        <v>901</v>
      </c>
      <c r="D81" s="5" t="n">
        <v>10</v>
      </c>
      <c r="E81" s="6" t="n">
        <v>12.22</v>
      </c>
      <c r="F81" s="7" t="n">
        <f aca="false">E81*6</f>
        <v>73.32</v>
      </c>
      <c r="G81" s="7" t="n">
        <f aca="false">E81*12</f>
        <v>146.64</v>
      </c>
      <c r="H81" s="6" t="n">
        <v>15.57</v>
      </c>
      <c r="I81" s="6" t="n">
        <v>154.61</v>
      </c>
      <c r="J81" s="6" t="n">
        <v>51.39</v>
      </c>
      <c r="K81" s="6" t="n">
        <v>23.33</v>
      </c>
      <c r="L81" s="6" t="n">
        <v>10.57</v>
      </c>
      <c r="M81" s="6" t="n">
        <v>3.15</v>
      </c>
      <c r="N81" s="6" t="n">
        <v>1.82</v>
      </c>
      <c r="O81" s="6" t="n">
        <v>1.4</v>
      </c>
      <c r="P81" s="6" t="n">
        <v>3.37</v>
      </c>
      <c r="Q81" s="6" t="n">
        <v>1.64</v>
      </c>
      <c r="R81" s="8" t="n">
        <v>0.33</v>
      </c>
    </row>
    <row r="82" customFormat="false" ht="15" hidden="false" customHeight="false" outlineLevel="0" collapsed="false">
      <c r="A82" s="9" t="s">
        <v>904</v>
      </c>
      <c r="B82" s="9" t="s">
        <v>870</v>
      </c>
      <c r="C82" s="9" t="s">
        <v>905</v>
      </c>
      <c r="D82" s="10" t="n">
        <v>8</v>
      </c>
      <c r="E82" s="11" t="n">
        <v>10.56</v>
      </c>
      <c r="F82" s="12" t="n">
        <f aca="false">E82*6</f>
        <v>63.36</v>
      </c>
      <c r="G82" s="12" t="n">
        <f aca="false">E82*12</f>
        <v>126.72</v>
      </c>
      <c r="H82" s="11" t="n">
        <v>13.45</v>
      </c>
      <c r="I82" s="11" t="n">
        <v>133.39</v>
      </c>
      <c r="J82" s="11" t="n">
        <v>64.36</v>
      </c>
      <c r="K82" s="11" t="n">
        <v>19.37</v>
      </c>
      <c r="L82" s="11" t="n">
        <v>11.45</v>
      </c>
      <c r="M82" s="11" t="n">
        <v>3.15</v>
      </c>
      <c r="N82" s="11" t="n">
        <v>2.19</v>
      </c>
      <c r="O82" s="11" t="n">
        <v>1.61</v>
      </c>
      <c r="P82" s="11" t="n">
        <v>3.11</v>
      </c>
      <c r="Q82" s="11" t="n">
        <v>1.88</v>
      </c>
      <c r="R82" s="13" t="n">
        <v>0.35</v>
      </c>
    </row>
    <row r="83" customFormat="false" ht="15" hidden="false" customHeight="false" outlineLevel="0" collapsed="false">
      <c r="A83" s="4" t="s">
        <v>906</v>
      </c>
      <c r="B83" s="4" t="s">
        <v>870</v>
      </c>
      <c r="C83" s="4" t="s">
        <v>905</v>
      </c>
      <c r="D83" s="5" t="n">
        <v>10</v>
      </c>
      <c r="E83" s="6" t="n">
        <v>13.02</v>
      </c>
      <c r="F83" s="7" t="n">
        <f aca="false">E83*6</f>
        <v>78.12</v>
      </c>
      <c r="G83" s="7" t="n">
        <f aca="false">E83*12</f>
        <v>156.24</v>
      </c>
      <c r="H83" s="6" t="n">
        <v>16.59</v>
      </c>
      <c r="I83" s="6" t="n">
        <v>162.16</v>
      </c>
      <c r="J83" s="6" t="n">
        <v>77.88</v>
      </c>
      <c r="K83" s="6" t="n">
        <v>23.83</v>
      </c>
      <c r="L83" s="6" t="n">
        <v>14.05</v>
      </c>
      <c r="M83" s="6" t="n">
        <v>3.13</v>
      </c>
      <c r="N83" s="6" t="n">
        <v>2.17</v>
      </c>
      <c r="O83" s="6" t="n">
        <v>1.6</v>
      </c>
      <c r="P83" s="6" t="n">
        <v>3.19</v>
      </c>
      <c r="Q83" s="6" t="n">
        <v>1.96</v>
      </c>
      <c r="R83" s="8" t="n">
        <v>0.35</v>
      </c>
    </row>
    <row r="84" customFormat="false" ht="15" hidden="false" customHeight="false" outlineLevel="0" collapsed="false">
      <c r="A84" s="9" t="s">
        <v>907</v>
      </c>
      <c r="B84" s="9" t="s">
        <v>870</v>
      </c>
      <c r="C84" s="9" t="s">
        <v>905</v>
      </c>
      <c r="D84" s="10" t="n">
        <v>12</v>
      </c>
      <c r="E84" s="11" t="n">
        <v>15.42</v>
      </c>
      <c r="F84" s="12" t="n">
        <f aca="false">E84*6</f>
        <v>92.52</v>
      </c>
      <c r="G84" s="12" t="n">
        <f aca="false">E84*12</f>
        <v>185.04</v>
      </c>
      <c r="H84" s="11" t="n">
        <v>19.65</v>
      </c>
      <c r="I84" s="11" t="n">
        <v>189.19</v>
      </c>
      <c r="J84" s="11" t="n">
        <v>90.44</v>
      </c>
      <c r="K84" s="11" t="n">
        <v>28.12</v>
      </c>
      <c r="L84" s="11" t="n">
        <v>16.55</v>
      </c>
      <c r="M84" s="11" t="n">
        <v>3.1</v>
      </c>
      <c r="N84" s="11" t="n">
        <v>2.15</v>
      </c>
      <c r="O84" s="11" t="n">
        <v>1.59</v>
      </c>
      <c r="P84" s="11" t="n">
        <v>3.27</v>
      </c>
      <c r="Q84" s="11" t="n">
        <v>2.03</v>
      </c>
      <c r="R84" s="13" t="n">
        <v>0.35</v>
      </c>
    </row>
    <row r="85" customFormat="false" ht="15" hidden="false" customHeight="false" outlineLevel="0" collapsed="false">
      <c r="A85" s="4" t="s">
        <v>908</v>
      </c>
      <c r="B85" s="4" t="s">
        <v>870</v>
      </c>
      <c r="C85" s="4" t="s">
        <v>335</v>
      </c>
      <c r="D85" s="5" t="n">
        <v>8</v>
      </c>
      <c r="E85" s="6" t="n">
        <v>12.13</v>
      </c>
      <c r="F85" s="7" t="n">
        <f aca="false">E85*6</f>
        <v>72.78</v>
      </c>
      <c r="G85" s="7" t="n">
        <f aca="false">E85*12</f>
        <v>145.56</v>
      </c>
      <c r="H85" s="6" t="n">
        <v>15.45</v>
      </c>
      <c r="I85" s="6" t="n">
        <v>226.58</v>
      </c>
      <c r="J85" s="6" t="n">
        <v>81.49</v>
      </c>
      <c r="K85" s="6" t="n">
        <v>27.81</v>
      </c>
      <c r="L85" s="6" t="n">
        <v>13.31</v>
      </c>
      <c r="M85" s="6" t="n">
        <v>3.83</v>
      </c>
      <c r="N85" s="6" t="n">
        <v>2.3</v>
      </c>
      <c r="O85" s="6" t="n">
        <v>1.74</v>
      </c>
      <c r="P85" s="6" t="n">
        <v>3.85</v>
      </c>
      <c r="Q85" s="6" t="n">
        <v>1.88</v>
      </c>
      <c r="R85" s="8" t="n">
        <v>0.4</v>
      </c>
    </row>
    <row r="86" customFormat="false" ht="15" hidden="false" customHeight="false" outlineLevel="0" collapsed="false">
      <c r="A86" s="9" t="s">
        <v>909</v>
      </c>
      <c r="B86" s="9" t="s">
        <v>870</v>
      </c>
      <c r="C86" s="9" t="s">
        <v>335</v>
      </c>
      <c r="D86" s="10" t="n">
        <v>10</v>
      </c>
      <c r="E86" s="11" t="n">
        <v>14.98</v>
      </c>
      <c r="F86" s="12" t="n">
        <f aca="false">E86*6</f>
        <v>89.88</v>
      </c>
      <c r="G86" s="12" t="n">
        <f aca="false">E86*12</f>
        <v>179.76</v>
      </c>
      <c r="H86" s="11" t="n">
        <v>19.09</v>
      </c>
      <c r="I86" s="11" t="n">
        <v>276.47</v>
      </c>
      <c r="J86" s="11" t="n">
        <v>98.83</v>
      </c>
      <c r="K86" s="11" t="n">
        <v>34.29</v>
      </c>
      <c r="L86" s="11" t="n">
        <v>16.35</v>
      </c>
      <c r="M86" s="11" t="n">
        <v>3.81</v>
      </c>
      <c r="N86" s="11" t="n">
        <v>2.28</v>
      </c>
      <c r="O86" s="11" t="n">
        <v>1.73</v>
      </c>
      <c r="P86" s="11" t="n">
        <v>3.94</v>
      </c>
      <c r="Q86" s="11" t="n">
        <v>1.96</v>
      </c>
      <c r="R86" s="13" t="n">
        <v>0.4</v>
      </c>
    </row>
    <row r="87" customFormat="false" ht="15" hidden="false" customHeight="false" outlineLevel="0" collapsed="false">
      <c r="A87" s="4" t="s">
        <v>910</v>
      </c>
      <c r="B87" s="4" t="s">
        <v>870</v>
      </c>
      <c r="C87" s="4" t="s">
        <v>335</v>
      </c>
      <c r="D87" s="5" t="n">
        <v>12</v>
      </c>
      <c r="E87" s="6" t="n">
        <v>17.78</v>
      </c>
      <c r="F87" s="7" t="n">
        <f aca="false">E87*6</f>
        <v>106.68</v>
      </c>
      <c r="G87" s="7" t="n">
        <f aca="false">E87*12</f>
        <v>213.36</v>
      </c>
      <c r="H87" s="6" t="n">
        <v>22.65</v>
      </c>
      <c r="I87" s="6" t="n">
        <v>323.77</v>
      </c>
      <c r="J87" s="6" t="n">
        <v>115.04</v>
      </c>
      <c r="K87" s="6" t="n">
        <v>40.56</v>
      </c>
      <c r="L87" s="6" t="n">
        <v>19.28</v>
      </c>
      <c r="M87" s="6" t="n">
        <v>3.78</v>
      </c>
      <c r="N87" s="6" t="n">
        <v>2.25</v>
      </c>
      <c r="O87" s="6" t="n">
        <v>1.72</v>
      </c>
      <c r="P87" s="6" t="n">
        <v>4.02</v>
      </c>
      <c r="Q87" s="6" t="n">
        <v>2.03</v>
      </c>
      <c r="R87" s="8" t="n">
        <v>0.4</v>
      </c>
    </row>
    <row r="88" customFormat="false" ht="15" hidden="false" customHeight="false" outlineLevel="0" collapsed="false">
      <c r="A88" s="9" t="s">
        <v>911</v>
      </c>
      <c r="B88" s="9" t="s">
        <v>870</v>
      </c>
      <c r="C88" s="9" t="s">
        <v>912</v>
      </c>
      <c r="D88" s="10" t="n">
        <v>8</v>
      </c>
      <c r="E88" s="11" t="n">
        <v>12.13</v>
      </c>
      <c r="F88" s="12" t="n">
        <f aca="false">E88*6</f>
        <v>72.78</v>
      </c>
      <c r="G88" s="12" t="n">
        <f aca="false">E88*12</f>
        <v>145.56</v>
      </c>
      <c r="H88" s="11" t="n">
        <v>15.45</v>
      </c>
      <c r="I88" s="11" t="n">
        <v>248.19</v>
      </c>
      <c r="J88" s="11" t="n">
        <v>68.27</v>
      </c>
      <c r="K88" s="11" t="n">
        <v>29.76</v>
      </c>
      <c r="L88" s="11" t="n">
        <v>11.75</v>
      </c>
      <c r="M88" s="11" t="n">
        <v>4.01</v>
      </c>
      <c r="N88" s="11" t="n">
        <v>2.1</v>
      </c>
      <c r="O88" s="11" t="n">
        <v>1.63</v>
      </c>
      <c r="P88" s="11" t="n">
        <v>4.16</v>
      </c>
      <c r="Q88" s="11" t="n">
        <v>1.69</v>
      </c>
      <c r="R88" s="13" t="n">
        <v>0.4</v>
      </c>
    </row>
    <row r="89" customFormat="false" ht="15" hidden="false" customHeight="false" outlineLevel="0" collapsed="false">
      <c r="A89" s="4" t="s">
        <v>913</v>
      </c>
      <c r="B89" s="4" t="s">
        <v>870</v>
      </c>
      <c r="C89" s="4" t="s">
        <v>912</v>
      </c>
      <c r="D89" s="5" t="n">
        <v>10</v>
      </c>
      <c r="E89" s="6" t="n">
        <v>14.98</v>
      </c>
      <c r="F89" s="7" t="n">
        <f aca="false">E89*6</f>
        <v>89.88</v>
      </c>
      <c r="G89" s="7" t="n">
        <f aca="false">E89*12</f>
        <v>179.76</v>
      </c>
      <c r="H89" s="6" t="n">
        <v>19.09</v>
      </c>
      <c r="I89" s="6" t="n">
        <v>302.92</v>
      </c>
      <c r="J89" s="6" t="n">
        <v>82.7</v>
      </c>
      <c r="K89" s="6" t="n">
        <v>36.69</v>
      </c>
      <c r="L89" s="6" t="n">
        <v>14.42</v>
      </c>
      <c r="M89" s="6" t="n">
        <v>3.98</v>
      </c>
      <c r="N89" s="6" t="n">
        <v>2.08</v>
      </c>
      <c r="O89" s="6" t="n">
        <v>1.62</v>
      </c>
      <c r="P89" s="6" t="n">
        <v>4.24</v>
      </c>
      <c r="Q89" s="6" t="n">
        <v>1.77</v>
      </c>
      <c r="R89" s="8" t="n">
        <v>0.4</v>
      </c>
    </row>
    <row r="90" customFormat="false" ht="15" hidden="false" customHeight="false" outlineLevel="0" collapsed="false">
      <c r="A90" s="9" t="s">
        <v>914</v>
      </c>
      <c r="B90" s="9" t="s">
        <v>870</v>
      </c>
      <c r="C90" s="9" t="s">
        <v>912</v>
      </c>
      <c r="D90" s="10" t="n">
        <v>12</v>
      </c>
      <c r="E90" s="11" t="n">
        <v>17.78</v>
      </c>
      <c r="F90" s="12" t="n">
        <f aca="false">E90*6</f>
        <v>106.68</v>
      </c>
      <c r="G90" s="12" t="n">
        <f aca="false">E90*12</f>
        <v>213.36</v>
      </c>
      <c r="H90" s="11" t="n">
        <v>22.65</v>
      </c>
      <c r="I90" s="11" t="n">
        <v>354.88</v>
      </c>
      <c r="J90" s="11" t="n">
        <v>96.15</v>
      </c>
      <c r="K90" s="11" t="n">
        <v>43.41</v>
      </c>
      <c r="L90" s="11" t="n">
        <v>17</v>
      </c>
      <c r="M90" s="11" t="n">
        <v>3.96</v>
      </c>
      <c r="N90" s="11" t="n">
        <v>2.06</v>
      </c>
      <c r="O90" s="11" t="n">
        <v>1.61</v>
      </c>
      <c r="P90" s="11" t="n">
        <v>4.32</v>
      </c>
      <c r="Q90" s="11" t="n">
        <v>1.84</v>
      </c>
      <c r="R90" s="13" t="n">
        <v>0.4</v>
      </c>
    </row>
    <row r="91" customFormat="false" ht="15" hidden="false" customHeight="false" outlineLevel="0" collapsed="false">
      <c r="A91" s="4" t="s">
        <v>915</v>
      </c>
      <c r="B91" s="4" t="s">
        <v>870</v>
      </c>
      <c r="C91" s="4" t="s">
        <v>916</v>
      </c>
      <c r="D91" s="5" t="n">
        <v>9</v>
      </c>
      <c r="E91" s="6" t="n">
        <v>15.33</v>
      </c>
      <c r="F91" s="7" t="n">
        <f aca="false">E91*6</f>
        <v>91.98</v>
      </c>
      <c r="G91" s="7" t="n">
        <f aca="false">E91*12</f>
        <v>183.96</v>
      </c>
      <c r="H91" s="6" t="n">
        <v>19.53</v>
      </c>
      <c r="I91" s="6" t="n">
        <v>456.73</v>
      </c>
      <c r="J91" s="6" t="n">
        <v>79.02</v>
      </c>
      <c r="K91" s="6" t="n">
        <v>47.07</v>
      </c>
      <c r="L91" s="6" t="n">
        <v>13.35</v>
      </c>
      <c r="M91" s="6" t="n">
        <v>4.84</v>
      </c>
      <c r="N91" s="6" t="n">
        <v>2.01</v>
      </c>
      <c r="O91" s="6" t="n">
        <v>1.61</v>
      </c>
      <c r="P91" s="6" t="n">
        <v>5.3</v>
      </c>
      <c r="Q91" s="6" t="n">
        <v>1.58</v>
      </c>
      <c r="R91" s="8" t="n">
        <v>0.45</v>
      </c>
    </row>
    <row r="92" customFormat="false" ht="15" hidden="false" customHeight="false" outlineLevel="0" collapsed="false">
      <c r="A92" s="9" t="s">
        <v>917</v>
      </c>
      <c r="B92" s="9" t="s">
        <v>870</v>
      </c>
      <c r="C92" s="9" t="s">
        <v>916</v>
      </c>
      <c r="D92" s="10" t="n">
        <v>10</v>
      </c>
      <c r="E92" s="11" t="n">
        <v>16.95</v>
      </c>
      <c r="F92" s="12" t="n">
        <f aca="false">E92*6</f>
        <v>101.7</v>
      </c>
      <c r="G92" s="12" t="n">
        <f aca="false">E92*12</f>
        <v>203.4</v>
      </c>
      <c r="H92" s="11" t="n">
        <v>21.59</v>
      </c>
      <c r="I92" s="11" t="n">
        <v>502.15</v>
      </c>
      <c r="J92" s="11" t="n">
        <v>86.46</v>
      </c>
      <c r="K92" s="11" t="n">
        <v>51.98</v>
      </c>
      <c r="L92" s="11" t="n">
        <v>14.7</v>
      </c>
      <c r="M92" s="11" t="n">
        <v>4.82</v>
      </c>
      <c r="N92" s="11" t="n">
        <v>2</v>
      </c>
      <c r="O92" s="11" t="n">
        <v>1.61</v>
      </c>
      <c r="P92" s="11" t="n">
        <v>5.34</v>
      </c>
      <c r="Q92" s="11" t="n">
        <v>1.62</v>
      </c>
      <c r="R92" s="13" t="n">
        <v>0.45</v>
      </c>
    </row>
    <row r="93" customFormat="false" ht="15" hidden="false" customHeight="false" outlineLevel="0" collapsed="false">
      <c r="A93" s="4" t="s">
        <v>918</v>
      </c>
      <c r="B93" s="4" t="s">
        <v>870</v>
      </c>
      <c r="C93" s="4" t="s">
        <v>916</v>
      </c>
      <c r="D93" s="5" t="n">
        <v>12</v>
      </c>
      <c r="E93" s="6" t="n">
        <v>20.13</v>
      </c>
      <c r="F93" s="7" t="n">
        <f aca="false">E93*6</f>
        <v>120.78</v>
      </c>
      <c r="G93" s="7" t="n">
        <f aca="false">E93*12</f>
        <v>241.56</v>
      </c>
      <c r="H93" s="6" t="n">
        <v>25.65</v>
      </c>
      <c r="I93" s="6" t="n">
        <v>589.97</v>
      </c>
      <c r="J93" s="6" t="n">
        <v>100.61</v>
      </c>
      <c r="K93" s="6" t="n">
        <v>61.6</v>
      </c>
      <c r="L93" s="6" t="n">
        <v>17.34</v>
      </c>
      <c r="M93" s="6" t="n">
        <v>4.8</v>
      </c>
      <c r="N93" s="6" t="n">
        <v>1.98</v>
      </c>
      <c r="O93" s="6" t="n">
        <v>1.6</v>
      </c>
      <c r="P93" s="6" t="n">
        <v>5.42</v>
      </c>
      <c r="Q93" s="6" t="n">
        <v>1.7</v>
      </c>
      <c r="R93" s="8" t="n">
        <v>0.45</v>
      </c>
    </row>
    <row r="94" customFormat="false" ht="15" hidden="false" customHeight="false" outlineLevel="0" collapsed="false">
      <c r="A94" s="9" t="s">
        <v>919</v>
      </c>
      <c r="B94" s="9" t="s">
        <v>870</v>
      </c>
      <c r="C94" s="9" t="s">
        <v>916</v>
      </c>
      <c r="D94" s="10" t="n">
        <v>15</v>
      </c>
      <c r="E94" s="11" t="n">
        <v>24.8</v>
      </c>
      <c r="F94" s="12" t="n">
        <f aca="false">E94*6</f>
        <v>148.8</v>
      </c>
      <c r="G94" s="12" t="n">
        <f aca="false">E94*12</f>
        <v>297.6</v>
      </c>
      <c r="H94" s="11" t="n">
        <v>31.59</v>
      </c>
      <c r="I94" s="11" t="n">
        <v>714.47</v>
      </c>
      <c r="J94" s="11" t="n">
        <v>120.25</v>
      </c>
      <c r="K94" s="11" t="n">
        <v>75.55</v>
      </c>
      <c r="L94" s="11" t="n">
        <v>21.15</v>
      </c>
      <c r="M94" s="11" t="n">
        <v>4.76</v>
      </c>
      <c r="N94" s="11" t="n">
        <v>1.95</v>
      </c>
      <c r="O94" s="11" t="n">
        <v>1.58</v>
      </c>
      <c r="P94" s="11" t="n">
        <v>5.54</v>
      </c>
      <c r="Q94" s="11" t="n">
        <v>1.81</v>
      </c>
      <c r="R94" s="13" t="n">
        <v>0.45</v>
      </c>
    </row>
    <row r="95" customFormat="false" ht="15" hidden="false" customHeight="false" outlineLevel="0" collapsed="false">
      <c r="A95" s="4" t="s">
        <v>920</v>
      </c>
      <c r="B95" s="4" t="s">
        <v>870</v>
      </c>
      <c r="C95" s="4" t="s">
        <v>921</v>
      </c>
      <c r="D95" s="5" t="n">
        <v>10</v>
      </c>
      <c r="E95" s="6" t="n">
        <v>18.14</v>
      </c>
      <c r="F95" s="7" t="n">
        <f aca="false">E95*6</f>
        <v>108.84</v>
      </c>
      <c r="G95" s="7" t="n">
        <f aca="false">E95*12</f>
        <v>217.68</v>
      </c>
      <c r="H95" s="6" t="n">
        <v>23.1</v>
      </c>
      <c r="I95" s="6" t="n">
        <v>534.58</v>
      </c>
      <c r="J95" s="6" t="n">
        <v>147.17</v>
      </c>
      <c r="K95" s="6" t="n">
        <v>53.55</v>
      </c>
      <c r="L95" s="6" t="n">
        <v>21.16</v>
      </c>
      <c r="M95" s="6" t="n">
        <v>4.81</v>
      </c>
      <c r="N95" s="6" t="n">
        <v>2.52</v>
      </c>
      <c r="O95" s="6" t="n">
        <v>1.96</v>
      </c>
      <c r="P95" s="6" t="n">
        <v>5.02</v>
      </c>
      <c r="Q95" s="6" t="n">
        <v>2.04</v>
      </c>
      <c r="R95" s="8" t="n">
        <v>0.48</v>
      </c>
    </row>
    <row r="96" customFormat="false" ht="15" hidden="false" customHeight="false" outlineLevel="0" collapsed="false">
      <c r="A96" s="9" t="s">
        <v>922</v>
      </c>
      <c r="B96" s="9" t="s">
        <v>870</v>
      </c>
      <c r="C96" s="9" t="s">
        <v>921</v>
      </c>
      <c r="D96" s="10" t="n">
        <v>12</v>
      </c>
      <c r="E96" s="11" t="n">
        <v>21.56</v>
      </c>
      <c r="F96" s="12" t="n">
        <f aca="false">E96*6</f>
        <v>129.36</v>
      </c>
      <c r="G96" s="12" t="n">
        <f aca="false">E96*12</f>
        <v>258.72</v>
      </c>
      <c r="H96" s="11" t="n">
        <v>27.46</v>
      </c>
      <c r="I96" s="11" t="n">
        <v>628.76</v>
      </c>
      <c r="J96" s="11" t="n">
        <v>171.94</v>
      </c>
      <c r="K96" s="11" t="n">
        <v>63.51</v>
      </c>
      <c r="L96" s="11" t="n">
        <v>25</v>
      </c>
      <c r="M96" s="11" t="n">
        <v>4.78</v>
      </c>
      <c r="N96" s="11" t="n">
        <v>2.5</v>
      </c>
      <c r="O96" s="11" t="n">
        <v>1.95</v>
      </c>
      <c r="P96" s="11" t="n">
        <v>5.1</v>
      </c>
      <c r="Q96" s="11" t="n">
        <v>2.12</v>
      </c>
      <c r="R96" s="13" t="n">
        <v>0.48</v>
      </c>
    </row>
    <row r="97" customFormat="false" ht="15" hidden="false" customHeight="false" outlineLevel="0" collapsed="false">
      <c r="A97" s="4" t="s">
        <v>923</v>
      </c>
      <c r="B97" s="4" t="s">
        <v>870</v>
      </c>
      <c r="C97" s="4" t="s">
        <v>921</v>
      </c>
      <c r="D97" s="5" t="n">
        <v>15</v>
      </c>
      <c r="E97" s="6" t="n">
        <v>26.58</v>
      </c>
      <c r="F97" s="7" t="n">
        <f aca="false">E97*6</f>
        <v>159.48</v>
      </c>
      <c r="G97" s="7" t="n">
        <f aca="false">E97*12</f>
        <v>318.96</v>
      </c>
      <c r="H97" s="6" t="n">
        <v>33.85</v>
      </c>
      <c r="I97" s="6" t="n">
        <v>762.57</v>
      </c>
      <c r="J97" s="6" t="n">
        <v>206.51</v>
      </c>
      <c r="K97" s="6" t="n">
        <v>77.96</v>
      </c>
      <c r="L97" s="6" t="n">
        <v>30.54</v>
      </c>
      <c r="M97" s="6" t="n">
        <v>4.75</v>
      </c>
      <c r="N97" s="6" t="n">
        <v>2.47</v>
      </c>
      <c r="O97" s="6" t="n">
        <v>1.93</v>
      </c>
      <c r="P97" s="6" t="n">
        <v>5.22</v>
      </c>
      <c r="Q97" s="6" t="n">
        <v>2.24</v>
      </c>
      <c r="R97" s="8" t="n">
        <v>0.48</v>
      </c>
    </row>
    <row r="98" customFormat="false" ht="15" hidden="false" customHeight="false" outlineLevel="0" collapsed="false">
      <c r="A98" s="9" t="s">
        <v>924</v>
      </c>
      <c r="B98" s="9" t="s">
        <v>870</v>
      </c>
      <c r="C98" s="9" t="s">
        <v>359</v>
      </c>
      <c r="D98" s="10" t="n">
        <v>10</v>
      </c>
      <c r="E98" s="11" t="n">
        <v>18.94</v>
      </c>
      <c r="F98" s="12" t="n">
        <f aca="false">E98*6</f>
        <v>113.64</v>
      </c>
      <c r="G98" s="12" t="n">
        <f aca="false">E98*12</f>
        <v>227.28</v>
      </c>
      <c r="H98" s="11" t="n">
        <v>24.12</v>
      </c>
      <c r="I98" s="11" t="n">
        <v>553.54</v>
      </c>
      <c r="J98" s="11" t="n">
        <v>199.24</v>
      </c>
      <c r="K98" s="11" t="n">
        <v>54.38</v>
      </c>
      <c r="L98" s="11" t="n">
        <v>26.04</v>
      </c>
      <c r="M98" s="11" t="n">
        <v>4.79</v>
      </c>
      <c r="N98" s="11" t="n">
        <v>2.87</v>
      </c>
      <c r="O98" s="11" t="n">
        <v>2.18</v>
      </c>
      <c r="P98" s="11" t="n">
        <v>4.82</v>
      </c>
      <c r="Q98" s="11" t="n">
        <v>2.35</v>
      </c>
      <c r="R98" s="13" t="n">
        <v>0.5</v>
      </c>
    </row>
    <row r="99" customFormat="false" ht="15" hidden="false" customHeight="false" outlineLevel="0" collapsed="false">
      <c r="A99" s="4" t="s">
        <v>925</v>
      </c>
      <c r="B99" s="4" t="s">
        <v>870</v>
      </c>
      <c r="C99" s="4" t="s">
        <v>359</v>
      </c>
      <c r="D99" s="5" t="n">
        <v>12</v>
      </c>
      <c r="E99" s="6" t="n">
        <v>22.52</v>
      </c>
      <c r="F99" s="7" t="n">
        <f aca="false">E99*6</f>
        <v>135.12</v>
      </c>
      <c r="G99" s="7" t="n">
        <f aca="false">E99*12</f>
        <v>270.24</v>
      </c>
      <c r="H99" s="6" t="n">
        <v>28.68</v>
      </c>
      <c r="I99" s="6" t="n">
        <v>651.49</v>
      </c>
      <c r="J99" s="6" t="n">
        <v>233.33</v>
      </c>
      <c r="K99" s="6" t="n">
        <v>64.53</v>
      </c>
      <c r="L99" s="6" t="n">
        <v>30.81</v>
      </c>
      <c r="M99" s="6" t="n">
        <v>4.77</v>
      </c>
      <c r="N99" s="6" t="n">
        <v>2.85</v>
      </c>
      <c r="O99" s="6" t="n">
        <v>2.17</v>
      </c>
      <c r="P99" s="6" t="n">
        <v>4.9</v>
      </c>
      <c r="Q99" s="6" t="n">
        <v>2.43</v>
      </c>
      <c r="R99" s="8" t="n">
        <v>0.5</v>
      </c>
    </row>
    <row r="100" customFormat="false" ht="15" hidden="false" customHeight="false" outlineLevel="0" collapsed="false">
      <c r="A100" s="9" t="s">
        <v>926</v>
      </c>
      <c r="B100" s="9" t="s">
        <v>870</v>
      </c>
      <c r="C100" s="9" t="s">
        <v>377</v>
      </c>
      <c r="D100" s="10" t="n">
        <v>10</v>
      </c>
      <c r="E100" s="11" t="n">
        <v>22.86</v>
      </c>
      <c r="F100" s="12" t="n">
        <f aca="false">E100*6</f>
        <v>137.16</v>
      </c>
      <c r="G100" s="12" t="n">
        <f aca="false">E100*12</f>
        <v>274.32</v>
      </c>
      <c r="H100" s="11" t="n">
        <v>29.12</v>
      </c>
      <c r="I100" s="11" t="n">
        <v>1223.14</v>
      </c>
      <c r="J100" s="11" t="n">
        <v>213.79</v>
      </c>
      <c r="K100" s="11" t="n">
        <v>93.99</v>
      </c>
      <c r="L100" s="11" t="n">
        <v>26.83</v>
      </c>
      <c r="M100" s="11" t="n">
        <v>6.48</v>
      </c>
      <c r="N100" s="11" t="n">
        <v>2.71</v>
      </c>
      <c r="O100" s="11" t="n">
        <v>2.17</v>
      </c>
      <c r="P100" s="11" t="n">
        <v>6.99</v>
      </c>
      <c r="Q100" s="11" t="n">
        <v>2.03</v>
      </c>
      <c r="R100" s="13" t="n">
        <v>0.6</v>
      </c>
    </row>
    <row r="101" customFormat="false" ht="15" hidden="false" customHeight="false" outlineLevel="0" collapsed="false">
      <c r="A101" s="4" t="s">
        <v>927</v>
      </c>
      <c r="B101" s="4" t="s">
        <v>870</v>
      </c>
      <c r="C101" s="4" t="s">
        <v>377</v>
      </c>
      <c r="D101" s="5" t="n">
        <v>12</v>
      </c>
      <c r="E101" s="6" t="n">
        <v>27.23</v>
      </c>
      <c r="F101" s="7" t="n">
        <f aca="false">E101*6</f>
        <v>163.38</v>
      </c>
      <c r="G101" s="7" t="n">
        <f aca="false">E101*12</f>
        <v>326.76</v>
      </c>
      <c r="H101" s="6" t="n">
        <v>34.68</v>
      </c>
      <c r="I101" s="6" t="n">
        <v>1444.67</v>
      </c>
      <c r="J101" s="6" t="n">
        <v>250.61</v>
      </c>
      <c r="K101" s="6" t="n">
        <v>111.77</v>
      </c>
      <c r="L101" s="6" t="n">
        <v>31.77</v>
      </c>
      <c r="M101" s="6" t="n">
        <v>6.45</v>
      </c>
      <c r="N101" s="6" t="n">
        <v>2.69</v>
      </c>
      <c r="O101" s="6" t="n">
        <v>2.15</v>
      </c>
      <c r="P101" s="6" t="n">
        <v>7.07</v>
      </c>
      <c r="Q101" s="6" t="n">
        <v>2.11</v>
      </c>
      <c r="R101" s="8" t="n">
        <v>0.6</v>
      </c>
    </row>
    <row r="102" customFormat="false" ht="15" hidden="false" customHeight="false" outlineLevel="0" collapsed="false">
      <c r="A102" s="9" t="s">
        <v>928</v>
      </c>
      <c r="B102" s="9" t="s">
        <v>870</v>
      </c>
      <c r="C102" s="9" t="s">
        <v>377</v>
      </c>
      <c r="D102" s="10" t="n">
        <v>15</v>
      </c>
      <c r="E102" s="11" t="n">
        <v>33.66</v>
      </c>
      <c r="F102" s="12" t="n">
        <f aca="false">E102*6</f>
        <v>201.96</v>
      </c>
      <c r="G102" s="12" t="n">
        <f aca="false">E102*12</f>
        <v>403.92</v>
      </c>
      <c r="H102" s="11" t="n">
        <v>42.87</v>
      </c>
      <c r="I102" s="11" t="n">
        <v>1763.2</v>
      </c>
      <c r="J102" s="11" t="n">
        <v>302.4</v>
      </c>
      <c r="K102" s="11" t="n">
        <v>137.74</v>
      </c>
      <c r="L102" s="11" t="n">
        <v>38.91</v>
      </c>
      <c r="M102" s="11" t="n">
        <v>6.41</v>
      </c>
      <c r="N102" s="11" t="n">
        <v>2.66</v>
      </c>
      <c r="O102" s="11" t="n">
        <v>2.13</v>
      </c>
      <c r="P102" s="11" t="n">
        <v>7.2</v>
      </c>
      <c r="Q102" s="11" t="n">
        <v>2.23</v>
      </c>
      <c r="R102" s="13" t="n">
        <v>0.6</v>
      </c>
    </row>
    <row r="103" customFormat="false" ht="15" hidden="false" customHeight="false" outlineLevel="0" collapsed="false">
      <c r="A103" s="4" t="s">
        <v>929</v>
      </c>
      <c r="B103" s="4" t="s">
        <v>870</v>
      </c>
      <c r="C103" s="4" t="s">
        <v>389</v>
      </c>
      <c r="D103" s="5" t="n">
        <v>12</v>
      </c>
      <c r="E103" s="6" t="n">
        <v>32.01</v>
      </c>
      <c r="F103" s="7" t="n">
        <f aca="false">E103*6</f>
        <v>192.06</v>
      </c>
      <c r="G103" s="7" t="n">
        <f aca="false">E103*12</f>
        <v>384.12</v>
      </c>
      <c r="H103" s="6" t="n">
        <v>40.78</v>
      </c>
      <c r="I103" s="6" t="n">
        <v>1653.24</v>
      </c>
      <c r="J103" s="6" t="n">
        <v>804.04</v>
      </c>
      <c r="K103" s="6" t="n">
        <v>118.83</v>
      </c>
      <c r="L103" s="6" t="n">
        <v>70.62</v>
      </c>
      <c r="M103" s="6" t="n">
        <v>6.37</v>
      </c>
      <c r="N103" s="6" t="n">
        <v>4.44</v>
      </c>
      <c r="O103" s="6" t="n">
        <v>3.25</v>
      </c>
      <c r="P103" s="6" t="n">
        <v>6.09</v>
      </c>
      <c r="Q103" s="6" t="n">
        <v>3.62</v>
      </c>
      <c r="R103" s="8" t="n">
        <v>0.7</v>
      </c>
    </row>
    <row r="104" customFormat="false" ht="15" hidden="false" customHeight="false" outlineLevel="0" collapsed="false">
      <c r="A104" s="9" t="s">
        <v>930</v>
      </c>
      <c r="B104" s="9" t="s">
        <v>870</v>
      </c>
      <c r="C104" s="9" t="s">
        <v>389</v>
      </c>
      <c r="D104" s="10" t="n">
        <v>15</v>
      </c>
      <c r="E104" s="11" t="n">
        <v>39.62</v>
      </c>
      <c r="F104" s="12" t="n">
        <f aca="false">E104*6</f>
        <v>237.72</v>
      </c>
      <c r="G104" s="12" t="n">
        <f aca="false">E104*12</f>
        <v>475.44</v>
      </c>
      <c r="H104" s="11" t="n">
        <v>50.47</v>
      </c>
      <c r="I104" s="11" t="n">
        <v>2023.48</v>
      </c>
      <c r="J104" s="11" t="n">
        <v>980.44</v>
      </c>
      <c r="K104" s="11" t="n">
        <v>146.78</v>
      </c>
      <c r="L104" s="11" t="n">
        <v>87.04</v>
      </c>
      <c r="M104" s="11" t="n">
        <v>6.33</v>
      </c>
      <c r="N104" s="11" t="n">
        <v>4.41</v>
      </c>
      <c r="O104" s="11" t="n">
        <v>3.23</v>
      </c>
      <c r="P104" s="11" t="n">
        <v>6.21</v>
      </c>
      <c r="Q104" s="11" t="n">
        <v>3.74</v>
      </c>
      <c r="R104" s="13" t="n">
        <v>0.7</v>
      </c>
    </row>
  </sheetData>
  <autoFilter ref="A4:R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22"/>
    <col collapsed="false" customWidth="true" hidden="false" outlineLevel="0" max="14" min="14" style="0" width="21"/>
  </cols>
  <sheetData>
    <row r="1" customFormat="false" ht="17.35" hidden="false" customHeight="false" outlineLevel="0" collapsed="false">
      <c r="A1" s="1" t="s">
        <v>931</v>
      </c>
    </row>
    <row r="2" customFormat="false" ht="15" hidden="false" customHeight="false" outlineLevel="0" collapsed="false">
      <c r="A2" s="2" t="s">
        <v>932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933</v>
      </c>
      <c r="J4" s="3" t="s">
        <v>13</v>
      </c>
      <c r="K4" s="3" t="s">
        <v>14</v>
      </c>
      <c r="L4" s="3" t="s">
        <v>15</v>
      </c>
      <c r="M4" s="3" t="s">
        <v>934</v>
      </c>
      <c r="N4" s="3" t="s">
        <v>16</v>
      </c>
    </row>
    <row r="5" customFormat="false" ht="15" hidden="false" customHeight="false" outlineLevel="0" collapsed="false">
      <c r="A5" s="4" t="s">
        <v>935</v>
      </c>
      <c r="B5" s="4" t="s">
        <v>936</v>
      </c>
      <c r="C5" s="6" t="n">
        <v>0.9</v>
      </c>
      <c r="D5" s="7" t="n">
        <f aca="false">C5*6</f>
        <v>5.4</v>
      </c>
      <c r="E5" s="7" t="n">
        <f aca="false">C5*12</f>
        <v>10.8</v>
      </c>
      <c r="F5" s="6" t="n">
        <v>1.15</v>
      </c>
      <c r="G5" s="6" t="n">
        <v>0.41</v>
      </c>
      <c r="H5" s="6" t="n">
        <v>0.21</v>
      </c>
      <c r="I5" s="6" t="n">
        <v>0.29</v>
      </c>
      <c r="J5" s="6" t="n">
        <v>0.21</v>
      </c>
      <c r="K5" s="6" t="n">
        <v>0.59</v>
      </c>
      <c r="L5" s="6" t="n">
        <v>0.42</v>
      </c>
      <c r="M5" s="6" t="n">
        <v>0.6</v>
      </c>
      <c r="N5" s="8" t="n">
        <v>0.08</v>
      </c>
    </row>
    <row r="6" customFormat="false" ht="15" hidden="false" customHeight="false" outlineLevel="0" collapsed="false">
      <c r="A6" s="9" t="s">
        <v>937</v>
      </c>
      <c r="B6" s="9" t="s">
        <v>938</v>
      </c>
      <c r="C6" s="11" t="n">
        <v>1.32</v>
      </c>
      <c r="D6" s="12" t="n">
        <f aca="false">C6*6</f>
        <v>7.92</v>
      </c>
      <c r="E6" s="12" t="n">
        <f aca="false">C6*12</f>
        <v>15.84</v>
      </c>
      <c r="F6" s="11" t="n">
        <v>1.68</v>
      </c>
      <c r="G6" s="11" t="n">
        <v>0.94</v>
      </c>
      <c r="H6" s="11" t="n">
        <v>0.47</v>
      </c>
      <c r="I6" s="11" t="n">
        <v>0.53</v>
      </c>
      <c r="J6" s="11" t="n">
        <v>0.37</v>
      </c>
      <c r="K6" s="11" t="n">
        <v>0.75</v>
      </c>
      <c r="L6" s="11" t="n">
        <v>0.53</v>
      </c>
      <c r="M6" s="11" t="n">
        <v>0.74</v>
      </c>
      <c r="N6" s="13" t="n">
        <v>0.1</v>
      </c>
    </row>
    <row r="7" customFormat="false" ht="15" hidden="false" customHeight="false" outlineLevel="0" collapsed="false">
      <c r="A7" s="4" t="s">
        <v>939</v>
      </c>
      <c r="B7" s="4" t="s">
        <v>940</v>
      </c>
      <c r="C7" s="6" t="n">
        <v>1.81</v>
      </c>
      <c r="D7" s="7" t="n">
        <f aca="false">C7*6</f>
        <v>10.86</v>
      </c>
      <c r="E7" s="7" t="n">
        <f aca="false">C7*12</f>
        <v>21.72</v>
      </c>
      <c r="F7" s="6" t="n">
        <v>2.31</v>
      </c>
      <c r="G7" s="6" t="n">
        <v>1.87</v>
      </c>
      <c r="H7" s="6" t="n">
        <v>0.92</v>
      </c>
      <c r="I7" s="6" t="n">
        <v>0.88</v>
      </c>
      <c r="J7" s="6" t="n">
        <v>0.61</v>
      </c>
      <c r="K7" s="6" t="n">
        <v>0.9</v>
      </c>
      <c r="L7" s="6" t="n">
        <v>0.63</v>
      </c>
      <c r="M7" s="6" t="n">
        <v>0.88</v>
      </c>
      <c r="N7" s="8" t="n">
        <v>0.12</v>
      </c>
    </row>
    <row r="8" customFormat="false" ht="15" hidden="false" customHeight="false" outlineLevel="0" collapsed="false">
      <c r="A8" s="9" t="s">
        <v>941</v>
      </c>
      <c r="B8" s="9" t="s">
        <v>942</v>
      </c>
      <c r="C8" s="11" t="n">
        <v>2.38</v>
      </c>
      <c r="D8" s="12" t="n">
        <f aca="false">C8*6</f>
        <v>14.28</v>
      </c>
      <c r="E8" s="12" t="n">
        <f aca="false">C8*12</f>
        <v>28.56</v>
      </c>
      <c r="F8" s="11" t="n">
        <v>3.03</v>
      </c>
      <c r="G8" s="11" t="n">
        <v>3.36</v>
      </c>
      <c r="H8" s="11" t="n">
        <v>1.64</v>
      </c>
      <c r="I8" s="11" t="n">
        <v>1.36</v>
      </c>
      <c r="J8" s="11" t="n">
        <v>0.94</v>
      </c>
      <c r="K8" s="11" t="n">
        <v>1.05</v>
      </c>
      <c r="L8" s="11" t="n">
        <v>0.74</v>
      </c>
      <c r="M8" s="11" t="n">
        <v>1.03</v>
      </c>
      <c r="N8" s="13" t="n">
        <v>0.14</v>
      </c>
    </row>
    <row r="9" customFormat="false" ht="15" hidden="false" customHeight="false" outlineLevel="0" collapsed="false">
      <c r="A9" s="4" t="s">
        <v>943</v>
      </c>
      <c r="B9" s="4" t="s">
        <v>944</v>
      </c>
      <c r="C9" s="6" t="n">
        <v>3.03</v>
      </c>
      <c r="D9" s="7" t="n">
        <f aca="false">C9*6</f>
        <v>18.18</v>
      </c>
      <c r="E9" s="7" t="n">
        <f aca="false">C9*12</f>
        <v>36.36</v>
      </c>
      <c r="F9" s="6" t="n">
        <v>3.86</v>
      </c>
      <c r="G9" s="6" t="n">
        <v>5.6</v>
      </c>
      <c r="H9" s="6" t="n">
        <v>2.72</v>
      </c>
      <c r="I9" s="6" t="n">
        <v>1.98</v>
      </c>
      <c r="J9" s="6" t="n">
        <v>1.36</v>
      </c>
      <c r="K9" s="6" t="n">
        <v>1.2</v>
      </c>
      <c r="L9" s="6" t="n">
        <v>0.84</v>
      </c>
      <c r="M9" s="6" t="n">
        <v>1.17</v>
      </c>
      <c r="N9" s="8" t="n">
        <v>0.16</v>
      </c>
    </row>
    <row r="10" customFormat="false" ht="15" hidden="false" customHeight="false" outlineLevel="0" collapsed="false">
      <c r="A10" s="9" t="s">
        <v>945</v>
      </c>
      <c r="B10" s="9" t="s">
        <v>946</v>
      </c>
      <c r="C10" s="11" t="n">
        <v>3.75</v>
      </c>
      <c r="D10" s="12" t="n">
        <f aca="false">C10*6</f>
        <v>22.5</v>
      </c>
      <c r="E10" s="12" t="n">
        <f aca="false">C10*12</f>
        <v>45</v>
      </c>
      <c r="F10" s="11" t="n">
        <v>4.78</v>
      </c>
      <c r="G10" s="11" t="n">
        <v>8.8</v>
      </c>
      <c r="H10" s="11" t="n">
        <v>4.25</v>
      </c>
      <c r="I10" s="11" t="n">
        <v>2.76</v>
      </c>
      <c r="J10" s="11" t="n">
        <v>1.89</v>
      </c>
      <c r="K10" s="11" t="n">
        <v>1.36</v>
      </c>
      <c r="L10" s="11" t="n">
        <v>0.94</v>
      </c>
      <c r="M10" s="11" t="n">
        <v>1.31</v>
      </c>
      <c r="N10" s="13" t="n">
        <v>0.18</v>
      </c>
    </row>
    <row r="11" customFormat="false" ht="15" hidden="false" customHeight="false" outlineLevel="0" collapsed="false">
      <c r="A11" s="4" t="s">
        <v>947</v>
      </c>
      <c r="B11" s="4" t="s">
        <v>948</v>
      </c>
      <c r="C11" s="6" t="n">
        <v>4.55</v>
      </c>
      <c r="D11" s="7" t="n">
        <f aca="false">C11*6</f>
        <v>27.3</v>
      </c>
      <c r="E11" s="7" t="n">
        <f aca="false">C11*12</f>
        <v>54.6</v>
      </c>
      <c r="F11" s="6" t="n">
        <v>5.79</v>
      </c>
      <c r="G11" s="6" t="n">
        <v>13.21</v>
      </c>
      <c r="H11" s="6" t="n">
        <v>6.36</v>
      </c>
      <c r="I11" s="6" t="n">
        <v>3.72</v>
      </c>
      <c r="J11" s="6" t="n">
        <v>2.54</v>
      </c>
      <c r="K11" s="6" t="n">
        <v>1.51</v>
      </c>
      <c r="L11" s="6" t="n">
        <v>1.05</v>
      </c>
      <c r="M11" s="6" t="n">
        <v>1.45</v>
      </c>
      <c r="N11" s="8" t="n">
        <v>0.2</v>
      </c>
    </row>
    <row r="12" customFormat="false" ht="15" hidden="false" customHeight="false" outlineLevel="0" collapsed="false">
      <c r="A12" s="9" t="s">
        <v>949</v>
      </c>
      <c r="B12" s="9" t="s">
        <v>950</v>
      </c>
      <c r="C12" s="11" t="n">
        <v>6.37</v>
      </c>
      <c r="D12" s="12" t="n">
        <f aca="false">C12*6</f>
        <v>38.22</v>
      </c>
      <c r="E12" s="12" t="n">
        <f aca="false">C12*12</f>
        <v>76.44</v>
      </c>
      <c r="F12" s="11" t="n">
        <v>8.12</v>
      </c>
      <c r="G12" s="11" t="n">
        <v>26.76</v>
      </c>
      <c r="H12" s="11" t="n">
        <v>12.81</v>
      </c>
      <c r="I12" s="11" t="n">
        <v>6.27</v>
      </c>
      <c r="J12" s="11" t="n">
        <v>4.27</v>
      </c>
      <c r="K12" s="11" t="n">
        <v>1.82</v>
      </c>
      <c r="L12" s="11" t="n">
        <v>1.26</v>
      </c>
      <c r="M12" s="11" t="n">
        <v>1.73</v>
      </c>
      <c r="N12" s="13" t="n">
        <v>0.24</v>
      </c>
    </row>
    <row r="13" customFormat="false" ht="15" hidden="false" customHeight="false" outlineLevel="0" collapsed="false">
      <c r="A13" s="4" t="s">
        <v>951</v>
      </c>
      <c r="B13" s="4" t="s">
        <v>952</v>
      </c>
      <c r="C13" s="6" t="n">
        <v>8.51</v>
      </c>
      <c r="D13" s="7" t="n">
        <f aca="false">C13*6</f>
        <v>51.06</v>
      </c>
      <c r="E13" s="7" t="n">
        <f aca="false">C13*12</f>
        <v>102.12</v>
      </c>
      <c r="F13" s="6" t="n">
        <v>10.84</v>
      </c>
      <c r="G13" s="6" t="n">
        <v>48.72</v>
      </c>
      <c r="H13" s="6" t="n">
        <v>23.23</v>
      </c>
      <c r="I13" s="6" t="n">
        <v>9.78</v>
      </c>
      <c r="J13" s="6" t="n">
        <v>6.64</v>
      </c>
      <c r="K13" s="6" t="n">
        <v>2.12</v>
      </c>
      <c r="L13" s="6" t="n">
        <v>1.46</v>
      </c>
      <c r="M13" s="6" t="n">
        <v>2.02</v>
      </c>
      <c r="N13" s="8" t="n">
        <v>0.28</v>
      </c>
    </row>
    <row r="14" customFormat="false" ht="15" hidden="false" customHeight="false" outlineLevel="0" collapsed="false">
      <c r="A14" s="9" t="s">
        <v>953</v>
      </c>
      <c r="B14" s="9" t="s">
        <v>954</v>
      </c>
      <c r="C14" s="11" t="n">
        <v>10.94</v>
      </c>
      <c r="D14" s="12" t="n">
        <f aca="false">C14*6</f>
        <v>65.64</v>
      </c>
      <c r="E14" s="12" t="n">
        <f aca="false">C14*12</f>
        <v>131.28</v>
      </c>
      <c r="F14" s="11" t="n">
        <v>13.94</v>
      </c>
      <c r="G14" s="11" t="n">
        <v>82.02</v>
      </c>
      <c r="H14" s="11" t="n">
        <v>38.99</v>
      </c>
      <c r="I14" s="11" t="n">
        <v>14.39</v>
      </c>
      <c r="J14" s="11" t="n">
        <v>9.75</v>
      </c>
      <c r="K14" s="11" t="n">
        <v>2.43</v>
      </c>
      <c r="L14" s="11" t="n">
        <v>1.67</v>
      </c>
      <c r="M14" s="11" t="n">
        <v>2.3</v>
      </c>
      <c r="N14" s="13" t="n">
        <v>0.32</v>
      </c>
    </row>
    <row r="15" customFormat="false" ht="15" hidden="false" customHeight="false" outlineLevel="0" collapsed="false">
      <c r="A15" s="4" t="s">
        <v>955</v>
      </c>
      <c r="B15" s="4" t="s">
        <v>956</v>
      </c>
      <c r="C15" s="6" t="n">
        <v>16.73</v>
      </c>
      <c r="D15" s="7" t="n">
        <f aca="false">C15*6</f>
        <v>100.38</v>
      </c>
      <c r="E15" s="7" t="n">
        <f aca="false">C15*12</f>
        <v>200.76</v>
      </c>
      <c r="F15" s="6" t="n">
        <v>21.31</v>
      </c>
      <c r="G15" s="6" t="n">
        <v>196.48</v>
      </c>
      <c r="H15" s="6" t="n">
        <v>93.01</v>
      </c>
      <c r="I15" s="6" t="n">
        <v>27.54</v>
      </c>
      <c r="J15" s="6" t="n">
        <v>18.6</v>
      </c>
      <c r="K15" s="6" t="n">
        <v>3.04</v>
      </c>
      <c r="L15" s="6" t="n">
        <v>2.09</v>
      </c>
      <c r="M15" s="6" t="n">
        <v>2.87</v>
      </c>
      <c r="N15" s="8" t="n">
        <v>0.4</v>
      </c>
    </row>
    <row r="16" customFormat="false" ht="15" hidden="false" customHeight="false" outlineLevel="0" collapsed="false">
      <c r="A16" s="9" t="s">
        <v>957</v>
      </c>
      <c r="B16" s="9" t="s">
        <v>958</v>
      </c>
      <c r="C16" s="11" t="n">
        <v>23.74</v>
      </c>
      <c r="D16" s="12" t="n">
        <f aca="false">C16*6</f>
        <v>142.44</v>
      </c>
      <c r="E16" s="12" t="n">
        <f aca="false">C16*12</f>
        <v>284.88</v>
      </c>
      <c r="F16" s="11" t="n">
        <v>30.24</v>
      </c>
      <c r="G16" s="11" t="n">
        <v>402.2</v>
      </c>
      <c r="H16" s="11" t="n">
        <v>189.85</v>
      </c>
      <c r="I16" s="11" t="n">
        <v>46.95</v>
      </c>
      <c r="J16" s="11" t="n">
        <v>31.64</v>
      </c>
      <c r="K16" s="11" t="n">
        <v>3.65</v>
      </c>
      <c r="L16" s="11" t="n">
        <v>2.51</v>
      </c>
      <c r="M16" s="11" t="n">
        <v>3.43</v>
      </c>
      <c r="N16" s="13" t="n">
        <v>0.48</v>
      </c>
    </row>
    <row r="17" customFormat="false" ht="15" hidden="false" customHeight="false" outlineLevel="0" collapsed="false">
      <c r="A17" s="4" t="s">
        <v>959</v>
      </c>
      <c r="B17" s="4" t="s">
        <v>960</v>
      </c>
      <c r="C17" s="6" t="n">
        <v>31.96</v>
      </c>
      <c r="D17" s="7" t="n">
        <f aca="false">C17*6</f>
        <v>191.76</v>
      </c>
      <c r="E17" s="7" t="n">
        <f aca="false">C17*12</f>
        <v>383.52</v>
      </c>
      <c r="F17" s="6" t="n">
        <v>40.72</v>
      </c>
      <c r="G17" s="6" t="n">
        <v>738.18</v>
      </c>
      <c r="H17" s="6" t="n">
        <v>347.73</v>
      </c>
      <c r="I17" s="6" t="n">
        <v>73.81</v>
      </c>
      <c r="J17" s="6" t="n">
        <v>49.68</v>
      </c>
      <c r="K17" s="6" t="n">
        <v>4.26</v>
      </c>
      <c r="L17" s="6" t="n">
        <v>2.92</v>
      </c>
      <c r="M17" s="6" t="n">
        <v>4</v>
      </c>
      <c r="N17" s="8" t="n">
        <v>0.56</v>
      </c>
    </row>
  </sheetData>
  <autoFilter ref="A4:N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21"/>
  </cols>
  <sheetData>
    <row r="1" customFormat="false" ht="17.35" hidden="false" customHeight="false" outlineLevel="0" collapsed="false">
      <c r="A1" s="1" t="s">
        <v>961</v>
      </c>
    </row>
    <row r="2" customFormat="false" ht="15" hidden="false" customHeight="false" outlineLevel="0" collapsed="false">
      <c r="A2" s="2" t="s">
        <v>962</v>
      </c>
    </row>
    <row r="4" customFormat="false" ht="33.75" hidden="false" customHeight="true" outlineLevel="0" collapsed="false">
      <c r="A4" s="3" t="s">
        <v>2</v>
      </c>
      <c r="B4" s="3" t="s">
        <v>4</v>
      </c>
      <c r="C4" s="3" t="s">
        <v>813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16</v>
      </c>
    </row>
    <row r="5" customFormat="false" ht="15" hidden="false" customHeight="false" outlineLevel="0" collapsed="false">
      <c r="A5" s="4" t="s">
        <v>963</v>
      </c>
      <c r="B5" s="4" t="s">
        <v>964</v>
      </c>
      <c r="C5" s="5" t="n">
        <v>3</v>
      </c>
      <c r="D5" s="6" t="n">
        <v>0.235</v>
      </c>
      <c r="E5" s="7" t="n">
        <f aca="false">D5*6</f>
        <v>1.41</v>
      </c>
      <c r="F5" s="7" t="n">
        <f aca="false">D5*12</f>
        <v>2.82</v>
      </c>
      <c r="G5" s="6" t="n">
        <v>0.3</v>
      </c>
      <c r="H5" s="8" t="n">
        <v>0.026</v>
      </c>
    </row>
    <row r="6" customFormat="false" ht="15" hidden="false" customHeight="false" outlineLevel="0" collapsed="false">
      <c r="A6" s="9" t="s">
        <v>965</v>
      </c>
      <c r="B6" s="9" t="s">
        <v>966</v>
      </c>
      <c r="C6" s="10" t="n">
        <v>4</v>
      </c>
      <c r="D6" s="11" t="n">
        <v>0.314</v>
      </c>
      <c r="E6" s="12" t="n">
        <f aca="false">D6*6</f>
        <v>1.884</v>
      </c>
      <c r="F6" s="12" t="n">
        <f aca="false">D6*12</f>
        <v>3.768</v>
      </c>
      <c r="G6" s="11" t="n">
        <v>0.4</v>
      </c>
      <c r="H6" s="13" t="n">
        <v>0.028</v>
      </c>
    </row>
    <row r="7" customFormat="false" ht="15" hidden="false" customHeight="false" outlineLevel="0" collapsed="false">
      <c r="A7" s="4" t="s">
        <v>967</v>
      </c>
      <c r="B7" s="4" t="s">
        <v>968</v>
      </c>
      <c r="C7" s="5" t="n">
        <v>5</v>
      </c>
      <c r="D7" s="6" t="n">
        <v>0.392</v>
      </c>
      <c r="E7" s="7" t="n">
        <f aca="false">D7*6</f>
        <v>2.352</v>
      </c>
      <c r="F7" s="7" t="n">
        <f aca="false">D7*12</f>
        <v>4.704</v>
      </c>
      <c r="G7" s="6" t="n">
        <v>0.5</v>
      </c>
      <c r="H7" s="8" t="n">
        <v>0.03</v>
      </c>
    </row>
    <row r="8" customFormat="false" ht="15" hidden="false" customHeight="false" outlineLevel="0" collapsed="false">
      <c r="A8" s="9" t="s">
        <v>969</v>
      </c>
      <c r="B8" s="9" t="s">
        <v>970</v>
      </c>
      <c r="C8" s="10" t="n">
        <v>3</v>
      </c>
      <c r="D8" s="11" t="n">
        <v>0.283</v>
      </c>
      <c r="E8" s="12" t="n">
        <f aca="false">D8*6</f>
        <v>1.698</v>
      </c>
      <c r="F8" s="12" t="n">
        <f aca="false">D8*12</f>
        <v>3.396</v>
      </c>
      <c r="G8" s="11" t="n">
        <v>0.36</v>
      </c>
      <c r="H8" s="13" t="n">
        <v>0.03</v>
      </c>
    </row>
    <row r="9" customFormat="false" ht="15" hidden="false" customHeight="false" outlineLevel="0" collapsed="false">
      <c r="A9" s="4" t="s">
        <v>971</v>
      </c>
      <c r="B9" s="4" t="s">
        <v>972</v>
      </c>
      <c r="C9" s="5" t="n">
        <v>4</v>
      </c>
      <c r="D9" s="6" t="n">
        <v>0.377</v>
      </c>
      <c r="E9" s="7" t="n">
        <f aca="false">D9*6</f>
        <v>2.262</v>
      </c>
      <c r="F9" s="7" t="n">
        <f aca="false">D9*12</f>
        <v>4.524</v>
      </c>
      <c r="G9" s="6" t="n">
        <v>0.48</v>
      </c>
      <c r="H9" s="8" t="n">
        <v>0.032</v>
      </c>
    </row>
    <row r="10" customFormat="false" ht="15" hidden="false" customHeight="false" outlineLevel="0" collapsed="false">
      <c r="A10" s="9" t="s">
        <v>973</v>
      </c>
      <c r="B10" s="9" t="s">
        <v>974</v>
      </c>
      <c r="C10" s="10" t="n">
        <v>5</v>
      </c>
      <c r="D10" s="11" t="n">
        <v>0.471</v>
      </c>
      <c r="E10" s="12" t="n">
        <f aca="false">D10*6</f>
        <v>2.826</v>
      </c>
      <c r="F10" s="12" t="n">
        <f aca="false">D10*12</f>
        <v>5.652</v>
      </c>
      <c r="G10" s="11" t="n">
        <v>0.6</v>
      </c>
      <c r="H10" s="13" t="n">
        <v>0.034</v>
      </c>
    </row>
    <row r="11" customFormat="false" ht="15" hidden="false" customHeight="false" outlineLevel="0" collapsed="false">
      <c r="A11" s="4" t="s">
        <v>975</v>
      </c>
      <c r="B11" s="4" t="s">
        <v>976</v>
      </c>
      <c r="C11" s="5" t="n">
        <v>6</v>
      </c>
      <c r="D11" s="6" t="n">
        <v>0.565</v>
      </c>
      <c r="E11" s="7" t="n">
        <f aca="false">D11*6</f>
        <v>3.39</v>
      </c>
      <c r="F11" s="7" t="n">
        <f aca="false">D11*12</f>
        <v>6.78</v>
      </c>
      <c r="G11" s="6" t="n">
        <v>0.72</v>
      </c>
      <c r="H11" s="8" t="n">
        <v>0.036</v>
      </c>
    </row>
    <row r="12" customFormat="false" ht="15" hidden="false" customHeight="false" outlineLevel="0" collapsed="false">
      <c r="A12" s="9" t="s">
        <v>977</v>
      </c>
      <c r="B12" s="9" t="s">
        <v>978</v>
      </c>
      <c r="C12" s="10" t="n">
        <v>3</v>
      </c>
      <c r="D12" s="11" t="n">
        <v>0.353</v>
      </c>
      <c r="E12" s="12" t="n">
        <f aca="false">D12*6</f>
        <v>2.118</v>
      </c>
      <c r="F12" s="12" t="n">
        <f aca="false">D12*12</f>
        <v>4.236</v>
      </c>
      <c r="G12" s="11" t="n">
        <v>0.45</v>
      </c>
      <c r="H12" s="13" t="n">
        <v>0.036</v>
      </c>
    </row>
    <row r="13" customFormat="false" ht="15" hidden="false" customHeight="false" outlineLevel="0" collapsed="false">
      <c r="A13" s="4" t="s">
        <v>979</v>
      </c>
      <c r="B13" s="4" t="s">
        <v>980</v>
      </c>
      <c r="C13" s="5" t="n">
        <v>4</v>
      </c>
      <c r="D13" s="6" t="n">
        <v>0.471</v>
      </c>
      <c r="E13" s="7" t="n">
        <f aca="false">D13*6</f>
        <v>2.826</v>
      </c>
      <c r="F13" s="7" t="n">
        <f aca="false">D13*12</f>
        <v>5.652</v>
      </c>
      <c r="G13" s="6" t="n">
        <v>0.6</v>
      </c>
      <c r="H13" s="8" t="n">
        <v>0.038</v>
      </c>
    </row>
    <row r="14" customFormat="false" ht="15" hidden="false" customHeight="false" outlineLevel="0" collapsed="false">
      <c r="A14" s="9" t="s">
        <v>981</v>
      </c>
      <c r="B14" s="9" t="s">
        <v>982</v>
      </c>
      <c r="C14" s="10" t="n">
        <v>5</v>
      </c>
      <c r="D14" s="11" t="n">
        <v>0.589</v>
      </c>
      <c r="E14" s="12" t="n">
        <f aca="false">D14*6</f>
        <v>3.534</v>
      </c>
      <c r="F14" s="12" t="n">
        <f aca="false">D14*12</f>
        <v>7.068</v>
      </c>
      <c r="G14" s="11" t="n">
        <v>0.75</v>
      </c>
      <c r="H14" s="13" t="n">
        <v>0.04</v>
      </c>
    </row>
    <row r="15" customFormat="false" ht="15" hidden="false" customHeight="false" outlineLevel="0" collapsed="false">
      <c r="A15" s="4" t="s">
        <v>983</v>
      </c>
      <c r="B15" s="4" t="s">
        <v>984</v>
      </c>
      <c r="C15" s="5" t="n">
        <v>6</v>
      </c>
      <c r="D15" s="6" t="n">
        <v>0.706</v>
      </c>
      <c r="E15" s="7" t="n">
        <f aca="false">D15*6</f>
        <v>4.236</v>
      </c>
      <c r="F15" s="7" t="n">
        <f aca="false">D15*12</f>
        <v>8.472</v>
      </c>
      <c r="G15" s="6" t="n">
        <v>0.9</v>
      </c>
      <c r="H15" s="8" t="n">
        <v>0.042</v>
      </c>
    </row>
    <row r="16" customFormat="false" ht="15" hidden="false" customHeight="false" outlineLevel="0" collapsed="false">
      <c r="A16" s="9" t="s">
        <v>985</v>
      </c>
      <c r="B16" s="9" t="s">
        <v>986</v>
      </c>
      <c r="C16" s="10" t="n">
        <v>3</v>
      </c>
      <c r="D16" s="11" t="n">
        <v>0.377</v>
      </c>
      <c r="E16" s="12" t="n">
        <f aca="false">D16*6</f>
        <v>2.262</v>
      </c>
      <c r="F16" s="12" t="n">
        <f aca="false">D16*12</f>
        <v>4.524</v>
      </c>
      <c r="G16" s="11" t="n">
        <v>0.48</v>
      </c>
      <c r="H16" s="13" t="n">
        <v>0.038</v>
      </c>
    </row>
    <row r="17" customFormat="false" ht="15" hidden="false" customHeight="false" outlineLevel="0" collapsed="false">
      <c r="A17" s="4" t="s">
        <v>987</v>
      </c>
      <c r="B17" s="4" t="s">
        <v>988</v>
      </c>
      <c r="C17" s="5" t="n">
        <v>4</v>
      </c>
      <c r="D17" s="6" t="n">
        <v>0.502</v>
      </c>
      <c r="E17" s="7" t="n">
        <f aca="false">D17*6</f>
        <v>3.012</v>
      </c>
      <c r="F17" s="7" t="n">
        <f aca="false">D17*12</f>
        <v>6.024</v>
      </c>
      <c r="G17" s="6" t="n">
        <v>0.64</v>
      </c>
      <c r="H17" s="8" t="n">
        <v>0.04</v>
      </c>
    </row>
    <row r="18" customFormat="false" ht="15" hidden="false" customHeight="false" outlineLevel="0" collapsed="false">
      <c r="A18" s="9" t="s">
        <v>989</v>
      </c>
      <c r="B18" s="9" t="s">
        <v>990</v>
      </c>
      <c r="C18" s="10" t="n">
        <v>5</v>
      </c>
      <c r="D18" s="11" t="n">
        <v>0.628</v>
      </c>
      <c r="E18" s="12" t="n">
        <f aca="false">D18*6</f>
        <v>3.768</v>
      </c>
      <c r="F18" s="12" t="n">
        <f aca="false">D18*12</f>
        <v>7.536</v>
      </c>
      <c r="G18" s="11" t="n">
        <v>0.8</v>
      </c>
      <c r="H18" s="13" t="n">
        <v>0.042</v>
      </c>
    </row>
    <row r="19" customFormat="false" ht="15" hidden="false" customHeight="false" outlineLevel="0" collapsed="false">
      <c r="A19" s="4" t="s">
        <v>991</v>
      </c>
      <c r="B19" s="4" t="s">
        <v>992</v>
      </c>
      <c r="C19" s="5" t="n">
        <v>6</v>
      </c>
      <c r="D19" s="6" t="n">
        <v>0.754</v>
      </c>
      <c r="E19" s="7" t="n">
        <f aca="false">D19*6</f>
        <v>4.524</v>
      </c>
      <c r="F19" s="7" t="n">
        <f aca="false">D19*12</f>
        <v>9.048</v>
      </c>
      <c r="G19" s="6" t="n">
        <v>0.96</v>
      </c>
      <c r="H19" s="8" t="n">
        <v>0.044</v>
      </c>
    </row>
    <row r="20" customFormat="false" ht="15" hidden="false" customHeight="false" outlineLevel="0" collapsed="false">
      <c r="A20" s="9" t="s">
        <v>993</v>
      </c>
      <c r="B20" s="9" t="s">
        <v>994</v>
      </c>
      <c r="C20" s="10" t="n">
        <v>8</v>
      </c>
      <c r="D20" s="11" t="n">
        <v>1</v>
      </c>
      <c r="E20" s="12" t="n">
        <f aca="false">D20*6</f>
        <v>6</v>
      </c>
      <c r="F20" s="12" t="n">
        <f aca="false">D20*12</f>
        <v>12</v>
      </c>
      <c r="G20" s="11" t="n">
        <v>1.28</v>
      </c>
      <c r="H20" s="13" t="n">
        <v>0.048</v>
      </c>
    </row>
    <row r="21" customFormat="false" ht="15" hidden="false" customHeight="false" outlineLevel="0" collapsed="false">
      <c r="A21" s="4" t="s">
        <v>995</v>
      </c>
      <c r="B21" s="4" t="s">
        <v>996</v>
      </c>
      <c r="C21" s="5" t="n">
        <v>3</v>
      </c>
      <c r="D21" s="6" t="n">
        <v>0.471</v>
      </c>
      <c r="E21" s="7" t="n">
        <f aca="false">D21*6</f>
        <v>2.826</v>
      </c>
      <c r="F21" s="7" t="n">
        <f aca="false">D21*12</f>
        <v>5.652</v>
      </c>
      <c r="G21" s="6" t="n">
        <v>0.6</v>
      </c>
      <c r="H21" s="8" t="n">
        <v>0.046</v>
      </c>
    </row>
    <row r="22" customFormat="false" ht="15" hidden="false" customHeight="false" outlineLevel="0" collapsed="false">
      <c r="A22" s="9" t="s">
        <v>997</v>
      </c>
      <c r="B22" s="9" t="s">
        <v>998</v>
      </c>
      <c r="C22" s="10" t="n">
        <v>4</v>
      </c>
      <c r="D22" s="11" t="n">
        <v>0.628</v>
      </c>
      <c r="E22" s="12" t="n">
        <f aca="false">D22*6</f>
        <v>3.768</v>
      </c>
      <c r="F22" s="12" t="n">
        <f aca="false">D22*12</f>
        <v>7.536</v>
      </c>
      <c r="G22" s="11" t="n">
        <v>0.8</v>
      </c>
      <c r="H22" s="13" t="n">
        <v>0.048</v>
      </c>
    </row>
    <row r="23" customFormat="false" ht="15" hidden="false" customHeight="false" outlineLevel="0" collapsed="false">
      <c r="A23" s="4" t="s">
        <v>999</v>
      </c>
      <c r="B23" s="4" t="s">
        <v>1000</v>
      </c>
      <c r="C23" s="5" t="n">
        <v>5</v>
      </c>
      <c r="D23" s="6" t="n">
        <v>0.785</v>
      </c>
      <c r="E23" s="7" t="n">
        <f aca="false">D23*6</f>
        <v>4.71</v>
      </c>
      <c r="F23" s="7" t="n">
        <f aca="false">D23*12</f>
        <v>9.42</v>
      </c>
      <c r="G23" s="6" t="n">
        <v>1</v>
      </c>
      <c r="H23" s="8" t="n">
        <v>0.05</v>
      </c>
    </row>
    <row r="24" customFormat="false" ht="15" hidden="false" customHeight="false" outlineLevel="0" collapsed="false">
      <c r="A24" s="9" t="s">
        <v>1001</v>
      </c>
      <c r="B24" s="9" t="s">
        <v>1002</v>
      </c>
      <c r="C24" s="10" t="n">
        <v>6</v>
      </c>
      <c r="D24" s="11" t="n">
        <v>0.942</v>
      </c>
      <c r="E24" s="12" t="n">
        <f aca="false">D24*6</f>
        <v>5.652</v>
      </c>
      <c r="F24" s="12" t="n">
        <f aca="false">D24*12</f>
        <v>11.304</v>
      </c>
      <c r="G24" s="11" t="n">
        <v>1.2</v>
      </c>
      <c r="H24" s="13" t="n">
        <v>0.052</v>
      </c>
    </row>
    <row r="25" customFormat="false" ht="15" hidden="false" customHeight="false" outlineLevel="0" collapsed="false">
      <c r="A25" s="4" t="s">
        <v>1003</v>
      </c>
      <c r="B25" s="4" t="s">
        <v>1004</v>
      </c>
      <c r="C25" s="5" t="n">
        <v>8</v>
      </c>
      <c r="D25" s="6" t="n">
        <v>1.26</v>
      </c>
      <c r="E25" s="7" t="n">
        <f aca="false">D25*6</f>
        <v>7.56</v>
      </c>
      <c r="F25" s="7" t="n">
        <f aca="false">D25*12</f>
        <v>15.12</v>
      </c>
      <c r="G25" s="6" t="n">
        <v>1.6</v>
      </c>
      <c r="H25" s="8" t="n">
        <v>0.056</v>
      </c>
    </row>
    <row r="26" customFormat="false" ht="15" hidden="false" customHeight="false" outlineLevel="0" collapsed="false">
      <c r="A26" s="9" t="s">
        <v>1005</v>
      </c>
      <c r="B26" s="9" t="s">
        <v>166</v>
      </c>
      <c r="C26" s="10" t="n">
        <v>10</v>
      </c>
      <c r="D26" s="11" t="n">
        <v>1.57</v>
      </c>
      <c r="E26" s="12" t="n">
        <f aca="false">D26*6</f>
        <v>9.42</v>
      </c>
      <c r="F26" s="12" t="n">
        <f aca="false">D26*12</f>
        <v>18.84</v>
      </c>
      <c r="G26" s="11" t="n">
        <v>2</v>
      </c>
      <c r="H26" s="13" t="n">
        <v>0.06</v>
      </c>
    </row>
    <row r="27" customFormat="false" ht="15" hidden="false" customHeight="false" outlineLevel="0" collapsed="false">
      <c r="A27" s="4" t="s">
        <v>1006</v>
      </c>
      <c r="B27" s="4" t="s">
        <v>1007</v>
      </c>
      <c r="C27" s="5" t="n">
        <v>3</v>
      </c>
      <c r="D27" s="6" t="n">
        <v>0.589</v>
      </c>
      <c r="E27" s="7" t="n">
        <f aca="false">D27*6</f>
        <v>3.534</v>
      </c>
      <c r="F27" s="7" t="n">
        <f aca="false">D27*12</f>
        <v>7.068</v>
      </c>
      <c r="G27" s="6" t="n">
        <v>0.75</v>
      </c>
      <c r="H27" s="8" t="n">
        <v>0.056</v>
      </c>
    </row>
    <row r="28" customFormat="false" ht="15" hidden="false" customHeight="false" outlineLevel="0" collapsed="false">
      <c r="A28" s="9" t="s">
        <v>1008</v>
      </c>
      <c r="B28" s="9" t="s">
        <v>1009</v>
      </c>
      <c r="C28" s="10" t="n">
        <v>4</v>
      </c>
      <c r="D28" s="11" t="n">
        <v>0.785</v>
      </c>
      <c r="E28" s="12" t="n">
        <f aca="false">D28*6</f>
        <v>4.71</v>
      </c>
      <c r="F28" s="12" t="n">
        <f aca="false">D28*12</f>
        <v>9.42</v>
      </c>
      <c r="G28" s="11" t="n">
        <v>1</v>
      </c>
      <c r="H28" s="13" t="n">
        <v>0.058</v>
      </c>
    </row>
    <row r="29" customFormat="false" ht="15" hidden="false" customHeight="false" outlineLevel="0" collapsed="false">
      <c r="A29" s="4" t="s">
        <v>1010</v>
      </c>
      <c r="B29" s="4" t="s">
        <v>1011</v>
      </c>
      <c r="C29" s="5" t="n">
        <v>5</v>
      </c>
      <c r="D29" s="6" t="n">
        <v>0.981</v>
      </c>
      <c r="E29" s="7" t="n">
        <f aca="false">D29*6</f>
        <v>5.886</v>
      </c>
      <c r="F29" s="7" t="n">
        <f aca="false">D29*12</f>
        <v>11.772</v>
      </c>
      <c r="G29" s="6" t="n">
        <v>1.25</v>
      </c>
      <c r="H29" s="8" t="n">
        <v>0.06</v>
      </c>
    </row>
    <row r="30" customFormat="false" ht="15" hidden="false" customHeight="false" outlineLevel="0" collapsed="false">
      <c r="A30" s="9" t="s">
        <v>1012</v>
      </c>
      <c r="B30" s="9" t="s">
        <v>1013</v>
      </c>
      <c r="C30" s="10" t="n">
        <v>6</v>
      </c>
      <c r="D30" s="11" t="n">
        <v>1.18</v>
      </c>
      <c r="E30" s="12" t="n">
        <f aca="false">D30*6</f>
        <v>7.08</v>
      </c>
      <c r="F30" s="12" t="n">
        <f aca="false">D30*12</f>
        <v>14.16</v>
      </c>
      <c r="G30" s="11" t="n">
        <v>1.5</v>
      </c>
      <c r="H30" s="13" t="n">
        <v>0.062</v>
      </c>
    </row>
    <row r="31" customFormat="false" ht="15" hidden="false" customHeight="false" outlineLevel="0" collapsed="false">
      <c r="A31" s="4" t="s">
        <v>1014</v>
      </c>
      <c r="B31" s="4" t="s">
        <v>1015</v>
      </c>
      <c r="C31" s="5" t="n">
        <v>8</v>
      </c>
      <c r="D31" s="6" t="n">
        <v>1.57</v>
      </c>
      <c r="E31" s="7" t="n">
        <f aca="false">D31*6</f>
        <v>9.42</v>
      </c>
      <c r="F31" s="7" t="n">
        <f aca="false">D31*12</f>
        <v>18.84</v>
      </c>
      <c r="G31" s="6" t="n">
        <v>2</v>
      </c>
      <c r="H31" s="8" t="n">
        <v>0.066</v>
      </c>
    </row>
    <row r="32" customFormat="false" ht="15" hidden="false" customHeight="false" outlineLevel="0" collapsed="false">
      <c r="A32" s="9" t="s">
        <v>1016</v>
      </c>
      <c r="B32" s="9" t="s">
        <v>1017</v>
      </c>
      <c r="C32" s="10" t="n">
        <v>10</v>
      </c>
      <c r="D32" s="11" t="n">
        <v>1.96</v>
      </c>
      <c r="E32" s="12" t="n">
        <f aca="false">D32*6</f>
        <v>11.76</v>
      </c>
      <c r="F32" s="12" t="n">
        <f aca="false">D32*12</f>
        <v>23.52</v>
      </c>
      <c r="G32" s="11" t="n">
        <v>2.5</v>
      </c>
      <c r="H32" s="13" t="n">
        <v>0.07</v>
      </c>
    </row>
    <row r="33" customFormat="false" ht="15" hidden="false" customHeight="false" outlineLevel="0" collapsed="false">
      <c r="A33" s="4" t="s">
        <v>1018</v>
      </c>
      <c r="B33" s="4" t="s">
        <v>1019</v>
      </c>
      <c r="C33" s="5" t="n">
        <v>12</v>
      </c>
      <c r="D33" s="6" t="n">
        <v>2.35</v>
      </c>
      <c r="E33" s="7" t="n">
        <f aca="false">D33*6</f>
        <v>14.1</v>
      </c>
      <c r="F33" s="7" t="n">
        <f aca="false">D33*12</f>
        <v>28.2</v>
      </c>
      <c r="G33" s="6" t="n">
        <v>3</v>
      </c>
      <c r="H33" s="8" t="n">
        <v>0.074</v>
      </c>
    </row>
    <row r="34" customFormat="false" ht="15" hidden="false" customHeight="false" outlineLevel="0" collapsed="false">
      <c r="A34" s="9" t="s">
        <v>1020</v>
      </c>
      <c r="B34" s="9" t="s">
        <v>1021</v>
      </c>
      <c r="C34" s="10" t="n">
        <v>3</v>
      </c>
      <c r="D34" s="11" t="n">
        <v>0.706</v>
      </c>
      <c r="E34" s="12" t="n">
        <f aca="false">D34*6</f>
        <v>4.236</v>
      </c>
      <c r="F34" s="12" t="n">
        <f aca="false">D34*12</f>
        <v>8.472</v>
      </c>
      <c r="G34" s="11" t="n">
        <v>0.9</v>
      </c>
      <c r="H34" s="13" t="n">
        <v>0.066</v>
      </c>
    </row>
    <row r="35" customFormat="false" ht="15" hidden="false" customHeight="false" outlineLevel="0" collapsed="false">
      <c r="A35" s="4" t="s">
        <v>1022</v>
      </c>
      <c r="B35" s="4" t="s">
        <v>1023</v>
      </c>
      <c r="C35" s="5" t="n">
        <v>4</v>
      </c>
      <c r="D35" s="6" t="n">
        <v>0.942</v>
      </c>
      <c r="E35" s="7" t="n">
        <f aca="false">D35*6</f>
        <v>5.652</v>
      </c>
      <c r="F35" s="7" t="n">
        <f aca="false">D35*12</f>
        <v>11.304</v>
      </c>
      <c r="G35" s="6" t="n">
        <v>1.2</v>
      </c>
      <c r="H35" s="8" t="n">
        <v>0.068</v>
      </c>
    </row>
    <row r="36" customFormat="false" ht="15" hidden="false" customHeight="false" outlineLevel="0" collapsed="false">
      <c r="A36" s="9" t="s">
        <v>1024</v>
      </c>
      <c r="B36" s="9" t="s">
        <v>1025</v>
      </c>
      <c r="C36" s="10" t="n">
        <v>5</v>
      </c>
      <c r="D36" s="11" t="n">
        <v>1.18</v>
      </c>
      <c r="E36" s="12" t="n">
        <f aca="false">D36*6</f>
        <v>7.08</v>
      </c>
      <c r="F36" s="12" t="n">
        <f aca="false">D36*12</f>
        <v>14.16</v>
      </c>
      <c r="G36" s="11" t="n">
        <v>1.5</v>
      </c>
      <c r="H36" s="13" t="n">
        <v>0.07</v>
      </c>
    </row>
    <row r="37" customFormat="false" ht="15" hidden="false" customHeight="false" outlineLevel="0" collapsed="false">
      <c r="A37" s="4" t="s">
        <v>1026</v>
      </c>
      <c r="B37" s="4" t="s">
        <v>1027</v>
      </c>
      <c r="C37" s="5" t="n">
        <v>6</v>
      </c>
      <c r="D37" s="6" t="n">
        <v>1.41</v>
      </c>
      <c r="E37" s="7" t="n">
        <f aca="false">D37*6</f>
        <v>8.46</v>
      </c>
      <c r="F37" s="7" t="n">
        <f aca="false">D37*12</f>
        <v>16.92</v>
      </c>
      <c r="G37" s="6" t="n">
        <v>1.8</v>
      </c>
      <c r="H37" s="8" t="n">
        <v>0.072</v>
      </c>
    </row>
    <row r="38" customFormat="false" ht="15" hidden="false" customHeight="false" outlineLevel="0" collapsed="false">
      <c r="A38" s="9" t="s">
        <v>1028</v>
      </c>
      <c r="B38" s="9" t="s">
        <v>1029</v>
      </c>
      <c r="C38" s="10" t="n">
        <v>8</v>
      </c>
      <c r="D38" s="11" t="n">
        <v>1.88</v>
      </c>
      <c r="E38" s="12" t="n">
        <f aca="false">D38*6</f>
        <v>11.28</v>
      </c>
      <c r="F38" s="12" t="n">
        <f aca="false">D38*12</f>
        <v>22.56</v>
      </c>
      <c r="G38" s="11" t="n">
        <v>2.4</v>
      </c>
      <c r="H38" s="13" t="n">
        <v>0.076</v>
      </c>
    </row>
    <row r="39" customFormat="false" ht="15" hidden="false" customHeight="false" outlineLevel="0" collapsed="false">
      <c r="A39" s="4" t="s">
        <v>1030</v>
      </c>
      <c r="B39" s="4" t="s">
        <v>1031</v>
      </c>
      <c r="C39" s="5" t="n">
        <v>10</v>
      </c>
      <c r="D39" s="6" t="n">
        <v>2.35</v>
      </c>
      <c r="E39" s="7" t="n">
        <f aca="false">D39*6</f>
        <v>14.1</v>
      </c>
      <c r="F39" s="7" t="n">
        <f aca="false">D39*12</f>
        <v>28.2</v>
      </c>
      <c r="G39" s="6" t="n">
        <v>3</v>
      </c>
      <c r="H39" s="8" t="n">
        <v>0.08</v>
      </c>
    </row>
    <row r="40" customFormat="false" ht="15" hidden="false" customHeight="false" outlineLevel="0" collapsed="false">
      <c r="A40" s="9" t="s">
        <v>1032</v>
      </c>
      <c r="B40" s="9" t="s">
        <v>1033</v>
      </c>
      <c r="C40" s="10" t="n">
        <v>12</v>
      </c>
      <c r="D40" s="11" t="n">
        <v>2.83</v>
      </c>
      <c r="E40" s="12" t="n">
        <f aca="false">D40*6</f>
        <v>16.98</v>
      </c>
      <c r="F40" s="12" t="n">
        <f aca="false">D40*12</f>
        <v>33.96</v>
      </c>
      <c r="G40" s="11" t="n">
        <v>3.6</v>
      </c>
      <c r="H40" s="13" t="n">
        <v>0.084</v>
      </c>
    </row>
    <row r="41" customFormat="false" ht="15" hidden="false" customHeight="false" outlineLevel="0" collapsed="false">
      <c r="A41" s="4" t="s">
        <v>1034</v>
      </c>
      <c r="B41" s="4" t="s">
        <v>170</v>
      </c>
      <c r="C41" s="5" t="n">
        <v>15</v>
      </c>
      <c r="D41" s="6" t="n">
        <v>3.53</v>
      </c>
      <c r="E41" s="7" t="n">
        <f aca="false">D41*6</f>
        <v>21.18</v>
      </c>
      <c r="F41" s="7" t="n">
        <f aca="false">D41*12</f>
        <v>42.36</v>
      </c>
      <c r="G41" s="6" t="n">
        <v>4.5</v>
      </c>
      <c r="H41" s="8" t="n">
        <v>0.09</v>
      </c>
    </row>
    <row r="42" customFormat="false" ht="15" hidden="false" customHeight="false" outlineLevel="0" collapsed="false">
      <c r="A42" s="9" t="s">
        <v>1035</v>
      </c>
      <c r="B42" s="9" t="s">
        <v>1036</v>
      </c>
      <c r="C42" s="10" t="n">
        <v>3</v>
      </c>
      <c r="D42" s="11" t="n">
        <v>0.824</v>
      </c>
      <c r="E42" s="12" t="n">
        <f aca="false">D42*6</f>
        <v>4.944</v>
      </c>
      <c r="F42" s="12" t="n">
        <f aca="false">D42*12</f>
        <v>9.888</v>
      </c>
      <c r="G42" s="11" t="n">
        <v>1.05</v>
      </c>
      <c r="H42" s="13" t="n">
        <v>0.076</v>
      </c>
    </row>
    <row r="43" customFormat="false" ht="15" hidden="false" customHeight="false" outlineLevel="0" collapsed="false">
      <c r="A43" s="4" t="s">
        <v>1037</v>
      </c>
      <c r="B43" s="4" t="s">
        <v>1038</v>
      </c>
      <c r="C43" s="5" t="n">
        <v>4</v>
      </c>
      <c r="D43" s="6" t="n">
        <v>1.1</v>
      </c>
      <c r="E43" s="7" t="n">
        <f aca="false">D43*6</f>
        <v>6.6</v>
      </c>
      <c r="F43" s="7" t="n">
        <f aca="false">D43*12</f>
        <v>13.2</v>
      </c>
      <c r="G43" s="6" t="n">
        <v>1.4</v>
      </c>
      <c r="H43" s="8" t="n">
        <v>0.078</v>
      </c>
    </row>
    <row r="44" customFormat="false" ht="15" hidden="false" customHeight="false" outlineLevel="0" collapsed="false">
      <c r="A44" s="9" t="s">
        <v>1039</v>
      </c>
      <c r="B44" s="9" t="s">
        <v>1040</v>
      </c>
      <c r="C44" s="10" t="n">
        <v>5</v>
      </c>
      <c r="D44" s="11" t="n">
        <v>1.37</v>
      </c>
      <c r="E44" s="12" t="n">
        <f aca="false">D44*6</f>
        <v>8.22</v>
      </c>
      <c r="F44" s="12" t="n">
        <f aca="false">D44*12</f>
        <v>16.44</v>
      </c>
      <c r="G44" s="11" t="n">
        <v>1.75</v>
      </c>
      <c r="H44" s="13" t="n">
        <v>0.08</v>
      </c>
    </row>
    <row r="45" customFormat="false" ht="15" hidden="false" customHeight="false" outlineLevel="0" collapsed="false">
      <c r="A45" s="4" t="s">
        <v>1041</v>
      </c>
      <c r="B45" s="4" t="s">
        <v>1042</v>
      </c>
      <c r="C45" s="5" t="n">
        <v>6</v>
      </c>
      <c r="D45" s="6" t="n">
        <v>1.65</v>
      </c>
      <c r="E45" s="7" t="n">
        <f aca="false">D45*6</f>
        <v>9.9</v>
      </c>
      <c r="F45" s="7" t="n">
        <f aca="false">D45*12</f>
        <v>19.8</v>
      </c>
      <c r="G45" s="6" t="n">
        <v>2.1</v>
      </c>
      <c r="H45" s="8" t="n">
        <v>0.082</v>
      </c>
    </row>
    <row r="46" customFormat="false" ht="15" hidden="false" customHeight="false" outlineLevel="0" collapsed="false">
      <c r="A46" s="9" t="s">
        <v>1043</v>
      </c>
      <c r="B46" s="9" t="s">
        <v>1044</v>
      </c>
      <c r="C46" s="10" t="n">
        <v>8</v>
      </c>
      <c r="D46" s="11" t="n">
        <v>2.2</v>
      </c>
      <c r="E46" s="12" t="n">
        <f aca="false">D46*6</f>
        <v>13.2</v>
      </c>
      <c r="F46" s="12" t="n">
        <f aca="false">D46*12</f>
        <v>26.4</v>
      </c>
      <c r="G46" s="11" t="n">
        <v>2.8</v>
      </c>
      <c r="H46" s="13" t="n">
        <v>0.086</v>
      </c>
    </row>
    <row r="47" customFormat="false" ht="15" hidden="false" customHeight="false" outlineLevel="0" collapsed="false">
      <c r="A47" s="4" t="s">
        <v>1045</v>
      </c>
      <c r="B47" s="4" t="s">
        <v>1046</v>
      </c>
      <c r="C47" s="5" t="n">
        <v>10</v>
      </c>
      <c r="D47" s="6" t="n">
        <v>2.75</v>
      </c>
      <c r="E47" s="7" t="n">
        <f aca="false">D47*6</f>
        <v>16.5</v>
      </c>
      <c r="F47" s="7" t="n">
        <f aca="false">D47*12</f>
        <v>33</v>
      </c>
      <c r="G47" s="6" t="n">
        <v>3.5</v>
      </c>
      <c r="H47" s="8" t="n">
        <v>0.09</v>
      </c>
    </row>
    <row r="48" customFormat="false" ht="15" hidden="false" customHeight="false" outlineLevel="0" collapsed="false">
      <c r="A48" s="9" t="s">
        <v>1047</v>
      </c>
      <c r="B48" s="9" t="s">
        <v>1048</v>
      </c>
      <c r="C48" s="10" t="n">
        <v>12</v>
      </c>
      <c r="D48" s="11" t="n">
        <v>3.3</v>
      </c>
      <c r="E48" s="12" t="n">
        <f aca="false">D48*6</f>
        <v>19.8</v>
      </c>
      <c r="F48" s="12" t="n">
        <f aca="false">D48*12</f>
        <v>39.6</v>
      </c>
      <c r="G48" s="11" t="n">
        <v>4.2</v>
      </c>
      <c r="H48" s="13" t="n">
        <v>0.094</v>
      </c>
    </row>
    <row r="49" customFormat="false" ht="15" hidden="false" customHeight="false" outlineLevel="0" collapsed="false">
      <c r="A49" s="4" t="s">
        <v>1049</v>
      </c>
      <c r="B49" s="4" t="s">
        <v>1050</v>
      </c>
      <c r="C49" s="5" t="n">
        <v>15</v>
      </c>
      <c r="D49" s="6" t="n">
        <v>4.12</v>
      </c>
      <c r="E49" s="7" t="n">
        <f aca="false">D49*6</f>
        <v>24.72</v>
      </c>
      <c r="F49" s="7" t="n">
        <f aca="false">D49*12</f>
        <v>49.44</v>
      </c>
      <c r="G49" s="6" t="n">
        <v>5.25</v>
      </c>
      <c r="H49" s="8" t="n">
        <v>0.1</v>
      </c>
    </row>
    <row r="50" customFormat="false" ht="15" hidden="false" customHeight="false" outlineLevel="0" collapsed="false">
      <c r="A50" s="9" t="s">
        <v>1051</v>
      </c>
      <c r="B50" s="9" t="s">
        <v>1052</v>
      </c>
      <c r="C50" s="10" t="n">
        <v>3</v>
      </c>
      <c r="D50" s="11" t="n">
        <v>0.942</v>
      </c>
      <c r="E50" s="12" t="n">
        <f aca="false">D50*6</f>
        <v>5.652</v>
      </c>
      <c r="F50" s="12" t="n">
        <f aca="false">D50*12</f>
        <v>11.304</v>
      </c>
      <c r="G50" s="11" t="n">
        <v>1.2</v>
      </c>
      <c r="H50" s="13" t="n">
        <v>0.086</v>
      </c>
    </row>
    <row r="51" customFormat="false" ht="15" hidden="false" customHeight="false" outlineLevel="0" collapsed="false">
      <c r="A51" s="4" t="s">
        <v>1053</v>
      </c>
      <c r="B51" s="4" t="s">
        <v>1054</v>
      </c>
      <c r="C51" s="5" t="n">
        <v>4</v>
      </c>
      <c r="D51" s="6" t="n">
        <v>1.26</v>
      </c>
      <c r="E51" s="7" t="n">
        <f aca="false">D51*6</f>
        <v>7.56</v>
      </c>
      <c r="F51" s="7" t="n">
        <f aca="false">D51*12</f>
        <v>15.12</v>
      </c>
      <c r="G51" s="6" t="n">
        <v>1.6</v>
      </c>
      <c r="H51" s="8" t="n">
        <v>0.088</v>
      </c>
    </row>
    <row r="52" customFormat="false" ht="15" hidden="false" customHeight="false" outlineLevel="0" collapsed="false">
      <c r="A52" s="9" t="s">
        <v>1055</v>
      </c>
      <c r="B52" s="9" t="s">
        <v>1056</v>
      </c>
      <c r="C52" s="10" t="n">
        <v>5</v>
      </c>
      <c r="D52" s="11" t="n">
        <v>1.57</v>
      </c>
      <c r="E52" s="12" t="n">
        <f aca="false">D52*6</f>
        <v>9.42</v>
      </c>
      <c r="F52" s="12" t="n">
        <f aca="false">D52*12</f>
        <v>18.84</v>
      </c>
      <c r="G52" s="11" t="n">
        <v>2</v>
      </c>
      <c r="H52" s="13" t="n">
        <v>0.09</v>
      </c>
    </row>
    <row r="53" customFormat="false" ht="15" hidden="false" customHeight="false" outlineLevel="0" collapsed="false">
      <c r="A53" s="4" t="s">
        <v>1057</v>
      </c>
      <c r="B53" s="4" t="s">
        <v>1058</v>
      </c>
      <c r="C53" s="5" t="n">
        <v>6</v>
      </c>
      <c r="D53" s="6" t="n">
        <v>1.88</v>
      </c>
      <c r="E53" s="7" t="n">
        <f aca="false">D53*6</f>
        <v>11.28</v>
      </c>
      <c r="F53" s="7" t="n">
        <f aca="false">D53*12</f>
        <v>22.56</v>
      </c>
      <c r="G53" s="6" t="n">
        <v>2.4</v>
      </c>
      <c r="H53" s="8" t="n">
        <v>0.092</v>
      </c>
    </row>
    <row r="54" customFormat="false" ht="15" hidden="false" customHeight="false" outlineLevel="0" collapsed="false">
      <c r="A54" s="9" t="s">
        <v>1059</v>
      </c>
      <c r="B54" s="9" t="s">
        <v>1060</v>
      </c>
      <c r="C54" s="10" t="n">
        <v>8</v>
      </c>
      <c r="D54" s="11" t="n">
        <v>2.51</v>
      </c>
      <c r="E54" s="12" t="n">
        <f aca="false">D54*6</f>
        <v>15.06</v>
      </c>
      <c r="F54" s="12" t="n">
        <f aca="false">D54*12</f>
        <v>30.12</v>
      </c>
      <c r="G54" s="11" t="n">
        <v>3.2</v>
      </c>
      <c r="H54" s="13" t="n">
        <v>0.096</v>
      </c>
    </row>
    <row r="55" customFormat="false" ht="15" hidden="false" customHeight="false" outlineLevel="0" collapsed="false">
      <c r="A55" s="4" t="s">
        <v>1061</v>
      </c>
      <c r="B55" s="4" t="s">
        <v>182</v>
      </c>
      <c r="C55" s="5" t="n">
        <v>10</v>
      </c>
      <c r="D55" s="6" t="n">
        <v>3.14</v>
      </c>
      <c r="E55" s="7" t="n">
        <f aca="false">D55*6</f>
        <v>18.84</v>
      </c>
      <c r="F55" s="7" t="n">
        <f aca="false">D55*12</f>
        <v>37.68</v>
      </c>
      <c r="G55" s="6" t="n">
        <v>4</v>
      </c>
      <c r="H55" s="8" t="n">
        <v>0.1</v>
      </c>
    </row>
    <row r="56" customFormat="false" ht="15" hidden="false" customHeight="false" outlineLevel="0" collapsed="false">
      <c r="A56" s="9" t="s">
        <v>1062</v>
      </c>
      <c r="B56" s="9" t="s">
        <v>1063</v>
      </c>
      <c r="C56" s="10" t="n">
        <v>12</v>
      </c>
      <c r="D56" s="11" t="n">
        <v>3.77</v>
      </c>
      <c r="E56" s="12" t="n">
        <f aca="false">D56*6</f>
        <v>22.62</v>
      </c>
      <c r="F56" s="12" t="n">
        <f aca="false">D56*12</f>
        <v>45.24</v>
      </c>
      <c r="G56" s="11" t="n">
        <v>4.8</v>
      </c>
      <c r="H56" s="13" t="n">
        <v>0.104</v>
      </c>
    </row>
    <row r="57" customFormat="false" ht="15" hidden="false" customHeight="false" outlineLevel="0" collapsed="false">
      <c r="A57" s="4" t="s">
        <v>1064</v>
      </c>
      <c r="B57" s="4" t="s">
        <v>186</v>
      </c>
      <c r="C57" s="5" t="n">
        <v>15</v>
      </c>
      <c r="D57" s="6" t="n">
        <v>4.71</v>
      </c>
      <c r="E57" s="7" t="n">
        <f aca="false">D57*6</f>
        <v>28.26</v>
      </c>
      <c r="F57" s="7" t="n">
        <f aca="false">D57*12</f>
        <v>56.52</v>
      </c>
      <c r="G57" s="6" t="n">
        <v>6</v>
      </c>
      <c r="H57" s="8" t="n">
        <v>0.11</v>
      </c>
    </row>
    <row r="58" customFormat="false" ht="15" hidden="false" customHeight="false" outlineLevel="0" collapsed="false">
      <c r="A58" s="9" t="s">
        <v>1065</v>
      </c>
      <c r="B58" s="9" t="s">
        <v>191</v>
      </c>
      <c r="C58" s="10" t="n">
        <v>20</v>
      </c>
      <c r="D58" s="11" t="n">
        <v>6.28</v>
      </c>
      <c r="E58" s="12" t="n">
        <f aca="false">D58*6</f>
        <v>37.68</v>
      </c>
      <c r="F58" s="12" t="n">
        <f aca="false">D58*12</f>
        <v>75.36</v>
      </c>
      <c r="G58" s="11" t="n">
        <v>8</v>
      </c>
      <c r="H58" s="13" t="n">
        <v>0.12</v>
      </c>
    </row>
    <row r="59" customFormat="false" ht="15" hidden="false" customHeight="false" outlineLevel="0" collapsed="false">
      <c r="A59" s="4" t="s">
        <v>1066</v>
      </c>
      <c r="B59" s="4" t="s">
        <v>1067</v>
      </c>
      <c r="C59" s="5" t="n">
        <v>3</v>
      </c>
      <c r="D59" s="6" t="n">
        <v>1.06</v>
      </c>
      <c r="E59" s="7" t="n">
        <f aca="false">D59*6</f>
        <v>6.36</v>
      </c>
      <c r="F59" s="7" t="n">
        <f aca="false">D59*12</f>
        <v>12.72</v>
      </c>
      <c r="G59" s="6" t="n">
        <v>1.35</v>
      </c>
      <c r="H59" s="8" t="n">
        <v>0.096</v>
      </c>
    </row>
    <row r="60" customFormat="false" ht="15" hidden="false" customHeight="false" outlineLevel="0" collapsed="false">
      <c r="A60" s="9" t="s">
        <v>1068</v>
      </c>
      <c r="B60" s="9" t="s">
        <v>1069</v>
      </c>
      <c r="C60" s="10" t="n">
        <v>4</v>
      </c>
      <c r="D60" s="11" t="n">
        <v>1.41</v>
      </c>
      <c r="E60" s="12" t="n">
        <f aca="false">D60*6</f>
        <v>8.46</v>
      </c>
      <c r="F60" s="12" t="n">
        <f aca="false">D60*12</f>
        <v>16.92</v>
      </c>
      <c r="G60" s="11" t="n">
        <v>1.8</v>
      </c>
      <c r="H60" s="13" t="n">
        <v>0.098</v>
      </c>
    </row>
    <row r="61" customFormat="false" ht="15" hidden="false" customHeight="false" outlineLevel="0" collapsed="false">
      <c r="A61" s="4" t="s">
        <v>1070</v>
      </c>
      <c r="B61" s="4" t="s">
        <v>1071</v>
      </c>
      <c r="C61" s="5" t="n">
        <v>5</v>
      </c>
      <c r="D61" s="6" t="n">
        <v>1.77</v>
      </c>
      <c r="E61" s="7" t="n">
        <f aca="false">D61*6</f>
        <v>10.62</v>
      </c>
      <c r="F61" s="7" t="n">
        <f aca="false">D61*12</f>
        <v>21.24</v>
      </c>
      <c r="G61" s="6" t="n">
        <v>2.25</v>
      </c>
      <c r="H61" s="8" t="n">
        <v>0.1</v>
      </c>
    </row>
    <row r="62" customFormat="false" ht="15" hidden="false" customHeight="false" outlineLevel="0" collapsed="false">
      <c r="A62" s="9" t="s">
        <v>1072</v>
      </c>
      <c r="B62" s="9" t="s">
        <v>1073</v>
      </c>
      <c r="C62" s="10" t="n">
        <v>6</v>
      </c>
      <c r="D62" s="11" t="n">
        <v>2.12</v>
      </c>
      <c r="E62" s="12" t="n">
        <f aca="false">D62*6</f>
        <v>12.72</v>
      </c>
      <c r="F62" s="12" t="n">
        <f aca="false">D62*12</f>
        <v>25.44</v>
      </c>
      <c r="G62" s="11" t="n">
        <v>2.7</v>
      </c>
      <c r="H62" s="13" t="n">
        <v>0.102</v>
      </c>
    </row>
    <row r="63" customFormat="false" ht="15" hidden="false" customHeight="false" outlineLevel="0" collapsed="false">
      <c r="A63" s="4" t="s">
        <v>1074</v>
      </c>
      <c r="B63" s="4" t="s">
        <v>1075</v>
      </c>
      <c r="C63" s="5" t="n">
        <v>8</v>
      </c>
      <c r="D63" s="6" t="n">
        <v>2.83</v>
      </c>
      <c r="E63" s="7" t="n">
        <f aca="false">D63*6</f>
        <v>16.98</v>
      </c>
      <c r="F63" s="7" t="n">
        <f aca="false">D63*12</f>
        <v>33.96</v>
      </c>
      <c r="G63" s="6" t="n">
        <v>3.6</v>
      </c>
      <c r="H63" s="8" t="n">
        <v>0.106</v>
      </c>
    </row>
    <row r="64" customFormat="false" ht="15" hidden="false" customHeight="false" outlineLevel="0" collapsed="false">
      <c r="A64" s="9" t="s">
        <v>1076</v>
      </c>
      <c r="B64" s="9" t="s">
        <v>1077</v>
      </c>
      <c r="C64" s="10" t="n">
        <v>10</v>
      </c>
      <c r="D64" s="11" t="n">
        <v>3.53</v>
      </c>
      <c r="E64" s="12" t="n">
        <f aca="false">D64*6</f>
        <v>21.18</v>
      </c>
      <c r="F64" s="12" t="n">
        <f aca="false">D64*12</f>
        <v>42.36</v>
      </c>
      <c r="G64" s="11" t="n">
        <v>4.5</v>
      </c>
      <c r="H64" s="13" t="n">
        <v>0.11</v>
      </c>
    </row>
    <row r="65" customFormat="false" ht="15" hidden="false" customHeight="false" outlineLevel="0" collapsed="false">
      <c r="A65" s="4" t="s">
        <v>1078</v>
      </c>
      <c r="B65" s="4" t="s">
        <v>1079</v>
      </c>
      <c r="C65" s="5" t="n">
        <v>12</v>
      </c>
      <c r="D65" s="6" t="n">
        <v>4.24</v>
      </c>
      <c r="E65" s="7" t="n">
        <f aca="false">D65*6</f>
        <v>25.44</v>
      </c>
      <c r="F65" s="7" t="n">
        <f aca="false">D65*12</f>
        <v>50.88</v>
      </c>
      <c r="G65" s="6" t="n">
        <v>5.4</v>
      </c>
      <c r="H65" s="8" t="n">
        <v>0.114</v>
      </c>
    </row>
    <row r="66" customFormat="false" ht="15" hidden="false" customHeight="false" outlineLevel="0" collapsed="false">
      <c r="A66" s="9" t="s">
        <v>1080</v>
      </c>
      <c r="B66" s="9" t="s">
        <v>1081</v>
      </c>
      <c r="C66" s="10" t="n">
        <v>15</v>
      </c>
      <c r="D66" s="11" t="n">
        <v>5.3</v>
      </c>
      <c r="E66" s="12" t="n">
        <f aca="false">D66*6</f>
        <v>31.8</v>
      </c>
      <c r="F66" s="12" t="n">
        <f aca="false">D66*12</f>
        <v>63.6</v>
      </c>
      <c r="G66" s="11" t="n">
        <v>6.75</v>
      </c>
      <c r="H66" s="13" t="n">
        <v>0.12</v>
      </c>
    </row>
    <row r="67" customFormat="false" ht="15" hidden="false" customHeight="false" outlineLevel="0" collapsed="false">
      <c r="A67" s="4" t="s">
        <v>1082</v>
      </c>
      <c r="B67" s="4" t="s">
        <v>1083</v>
      </c>
      <c r="C67" s="5" t="n">
        <v>20</v>
      </c>
      <c r="D67" s="6" t="n">
        <v>7.06</v>
      </c>
      <c r="E67" s="7" t="n">
        <f aca="false">D67*6</f>
        <v>42.36</v>
      </c>
      <c r="F67" s="7" t="n">
        <f aca="false">D67*12</f>
        <v>84.72</v>
      </c>
      <c r="G67" s="6" t="n">
        <v>9</v>
      </c>
      <c r="H67" s="8" t="n">
        <v>0.13</v>
      </c>
    </row>
    <row r="68" customFormat="false" ht="15" hidden="false" customHeight="false" outlineLevel="0" collapsed="false">
      <c r="A68" s="9" t="s">
        <v>1084</v>
      </c>
      <c r="B68" s="9" t="s">
        <v>1085</v>
      </c>
      <c r="C68" s="10" t="n">
        <v>3</v>
      </c>
      <c r="D68" s="11" t="n">
        <v>1.18</v>
      </c>
      <c r="E68" s="12" t="n">
        <f aca="false">D68*6</f>
        <v>7.08</v>
      </c>
      <c r="F68" s="12" t="n">
        <f aca="false">D68*12</f>
        <v>14.16</v>
      </c>
      <c r="G68" s="11" t="n">
        <v>1.5</v>
      </c>
      <c r="H68" s="13" t="n">
        <v>0.106</v>
      </c>
    </row>
    <row r="69" customFormat="false" ht="15" hidden="false" customHeight="false" outlineLevel="0" collapsed="false">
      <c r="A69" s="4" t="s">
        <v>1086</v>
      </c>
      <c r="B69" s="4" t="s">
        <v>1087</v>
      </c>
      <c r="C69" s="5" t="n">
        <v>4</v>
      </c>
      <c r="D69" s="6" t="n">
        <v>1.57</v>
      </c>
      <c r="E69" s="7" t="n">
        <f aca="false">D69*6</f>
        <v>9.42</v>
      </c>
      <c r="F69" s="7" t="n">
        <f aca="false">D69*12</f>
        <v>18.84</v>
      </c>
      <c r="G69" s="6" t="n">
        <v>2</v>
      </c>
      <c r="H69" s="8" t="n">
        <v>0.108</v>
      </c>
    </row>
    <row r="70" customFormat="false" ht="15" hidden="false" customHeight="false" outlineLevel="0" collapsed="false">
      <c r="A70" s="9" t="s">
        <v>1088</v>
      </c>
      <c r="B70" s="9" t="s">
        <v>1089</v>
      </c>
      <c r="C70" s="10" t="n">
        <v>5</v>
      </c>
      <c r="D70" s="11" t="n">
        <v>1.96</v>
      </c>
      <c r="E70" s="12" t="n">
        <f aca="false">D70*6</f>
        <v>11.76</v>
      </c>
      <c r="F70" s="12" t="n">
        <f aca="false">D70*12</f>
        <v>23.52</v>
      </c>
      <c r="G70" s="11" t="n">
        <v>2.5</v>
      </c>
      <c r="H70" s="13" t="n">
        <v>0.11</v>
      </c>
    </row>
    <row r="71" customFormat="false" ht="15" hidden="false" customHeight="false" outlineLevel="0" collapsed="false">
      <c r="A71" s="4" t="s">
        <v>1090</v>
      </c>
      <c r="B71" s="4" t="s">
        <v>1091</v>
      </c>
      <c r="C71" s="5" t="n">
        <v>6</v>
      </c>
      <c r="D71" s="6" t="n">
        <v>2.35</v>
      </c>
      <c r="E71" s="7" t="n">
        <f aca="false">D71*6</f>
        <v>14.1</v>
      </c>
      <c r="F71" s="7" t="n">
        <f aca="false">D71*12</f>
        <v>28.2</v>
      </c>
      <c r="G71" s="6" t="n">
        <v>3</v>
      </c>
      <c r="H71" s="8" t="n">
        <v>0.112</v>
      </c>
    </row>
    <row r="72" customFormat="false" ht="15" hidden="false" customHeight="false" outlineLevel="0" collapsed="false">
      <c r="A72" s="9" t="s">
        <v>1092</v>
      </c>
      <c r="B72" s="9" t="s">
        <v>1093</v>
      </c>
      <c r="C72" s="10" t="n">
        <v>8</v>
      </c>
      <c r="D72" s="11" t="n">
        <v>3.14</v>
      </c>
      <c r="E72" s="12" t="n">
        <f aca="false">D72*6</f>
        <v>18.84</v>
      </c>
      <c r="F72" s="12" t="n">
        <f aca="false">D72*12</f>
        <v>37.68</v>
      </c>
      <c r="G72" s="11" t="n">
        <v>4</v>
      </c>
      <c r="H72" s="13" t="n">
        <v>0.116</v>
      </c>
    </row>
    <row r="73" customFormat="false" ht="15" hidden="false" customHeight="false" outlineLevel="0" collapsed="false">
      <c r="A73" s="4" t="s">
        <v>1094</v>
      </c>
      <c r="B73" s="4" t="s">
        <v>1095</v>
      </c>
      <c r="C73" s="5" t="n">
        <v>10</v>
      </c>
      <c r="D73" s="6" t="n">
        <v>3.92</v>
      </c>
      <c r="E73" s="7" t="n">
        <f aca="false">D73*6</f>
        <v>23.52</v>
      </c>
      <c r="F73" s="7" t="n">
        <f aca="false">D73*12</f>
        <v>47.04</v>
      </c>
      <c r="G73" s="6" t="n">
        <v>5</v>
      </c>
      <c r="H73" s="8" t="n">
        <v>0.12</v>
      </c>
    </row>
    <row r="74" customFormat="false" ht="15" hidden="false" customHeight="false" outlineLevel="0" collapsed="false">
      <c r="A74" s="9" t="s">
        <v>1096</v>
      </c>
      <c r="B74" s="9" t="s">
        <v>1097</v>
      </c>
      <c r="C74" s="10" t="n">
        <v>12</v>
      </c>
      <c r="D74" s="11" t="n">
        <v>4.71</v>
      </c>
      <c r="E74" s="12" t="n">
        <f aca="false">D74*6</f>
        <v>28.26</v>
      </c>
      <c r="F74" s="12" t="n">
        <f aca="false">D74*12</f>
        <v>56.52</v>
      </c>
      <c r="G74" s="11" t="n">
        <v>6</v>
      </c>
      <c r="H74" s="13" t="n">
        <v>0.124</v>
      </c>
    </row>
    <row r="75" customFormat="false" ht="15" hidden="false" customHeight="false" outlineLevel="0" collapsed="false">
      <c r="A75" s="4" t="s">
        <v>1098</v>
      </c>
      <c r="B75" s="4" t="s">
        <v>1099</v>
      </c>
      <c r="C75" s="5" t="n">
        <v>15</v>
      </c>
      <c r="D75" s="6" t="n">
        <v>5.89</v>
      </c>
      <c r="E75" s="7" t="n">
        <f aca="false">D75*6</f>
        <v>35.34</v>
      </c>
      <c r="F75" s="7" t="n">
        <f aca="false">D75*12</f>
        <v>70.68</v>
      </c>
      <c r="G75" s="6" t="n">
        <v>7.5</v>
      </c>
      <c r="H75" s="8" t="n">
        <v>0.13</v>
      </c>
    </row>
    <row r="76" customFormat="false" ht="15" hidden="false" customHeight="false" outlineLevel="0" collapsed="false">
      <c r="A76" s="9" t="s">
        <v>1100</v>
      </c>
      <c r="B76" s="9" t="s">
        <v>203</v>
      </c>
      <c r="C76" s="10" t="n">
        <v>20</v>
      </c>
      <c r="D76" s="11" t="n">
        <v>7.85</v>
      </c>
      <c r="E76" s="12" t="n">
        <f aca="false">D76*6</f>
        <v>47.1</v>
      </c>
      <c r="F76" s="12" t="n">
        <f aca="false">D76*12</f>
        <v>94.2</v>
      </c>
      <c r="G76" s="11" t="n">
        <v>10</v>
      </c>
      <c r="H76" s="13" t="n">
        <v>0.14</v>
      </c>
    </row>
    <row r="77" customFormat="false" ht="15" hidden="false" customHeight="false" outlineLevel="0" collapsed="false">
      <c r="A77" s="4" t="s">
        <v>1101</v>
      </c>
      <c r="B77" s="4" t="s">
        <v>209</v>
      </c>
      <c r="C77" s="5" t="n">
        <v>25</v>
      </c>
      <c r="D77" s="6" t="n">
        <v>9.81</v>
      </c>
      <c r="E77" s="7" t="n">
        <f aca="false">D77*6</f>
        <v>58.86</v>
      </c>
      <c r="F77" s="7" t="n">
        <f aca="false">D77*12</f>
        <v>117.72</v>
      </c>
      <c r="G77" s="6" t="n">
        <v>12.5</v>
      </c>
      <c r="H77" s="8" t="n">
        <v>0.15</v>
      </c>
    </row>
    <row r="78" customFormat="false" ht="15" hidden="false" customHeight="false" outlineLevel="0" collapsed="false">
      <c r="A78" s="9" t="s">
        <v>1102</v>
      </c>
      <c r="B78" s="9" t="s">
        <v>1103</v>
      </c>
      <c r="C78" s="10" t="n">
        <v>3</v>
      </c>
      <c r="D78" s="11" t="n">
        <v>1.41</v>
      </c>
      <c r="E78" s="12" t="n">
        <f aca="false">D78*6</f>
        <v>8.46</v>
      </c>
      <c r="F78" s="12" t="n">
        <f aca="false">D78*12</f>
        <v>16.92</v>
      </c>
      <c r="G78" s="11" t="n">
        <v>1.8</v>
      </c>
      <c r="H78" s="13" t="n">
        <v>0.126</v>
      </c>
    </row>
    <row r="79" customFormat="false" ht="15" hidden="false" customHeight="false" outlineLevel="0" collapsed="false">
      <c r="A79" s="4" t="s">
        <v>1104</v>
      </c>
      <c r="B79" s="4" t="s">
        <v>1105</v>
      </c>
      <c r="C79" s="5" t="n">
        <v>4</v>
      </c>
      <c r="D79" s="6" t="n">
        <v>1.88</v>
      </c>
      <c r="E79" s="7" t="n">
        <f aca="false">D79*6</f>
        <v>11.28</v>
      </c>
      <c r="F79" s="7" t="n">
        <f aca="false">D79*12</f>
        <v>22.56</v>
      </c>
      <c r="G79" s="6" t="n">
        <v>2.4</v>
      </c>
      <c r="H79" s="8" t="n">
        <v>0.128</v>
      </c>
    </row>
    <row r="80" customFormat="false" ht="15" hidden="false" customHeight="false" outlineLevel="0" collapsed="false">
      <c r="A80" s="9" t="s">
        <v>1106</v>
      </c>
      <c r="B80" s="9" t="s">
        <v>1107</v>
      </c>
      <c r="C80" s="10" t="n">
        <v>5</v>
      </c>
      <c r="D80" s="11" t="n">
        <v>2.35</v>
      </c>
      <c r="E80" s="12" t="n">
        <f aca="false">D80*6</f>
        <v>14.1</v>
      </c>
      <c r="F80" s="12" t="n">
        <f aca="false">D80*12</f>
        <v>28.2</v>
      </c>
      <c r="G80" s="11" t="n">
        <v>3</v>
      </c>
      <c r="H80" s="13" t="n">
        <v>0.13</v>
      </c>
    </row>
    <row r="81" customFormat="false" ht="15" hidden="false" customHeight="false" outlineLevel="0" collapsed="false">
      <c r="A81" s="4" t="s">
        <v>1108</v>
      </c>
      <c r="B81" s="4" t="s">
        <v>1109</v>
      </c>
      <c r="C81" s="5" t="n">
        <v>6</v>
      </c>
      <c r="D81" s="6" t="n">
        <v>2.83</v>
      </c>
      <c r="E81" s="7" t="n">
        <f aca="false">D81*6</f>
        <v>16.98</v>
      </c>
      <c r="F81" s="7" t="n">
        <f aca="false">D81*12</f>
        <v>33.96</v>
      </c>
      <c r="G81" s="6" t="n">
        <v>3.6</v>
      </c>
      <c r="H81" s="8" t="n">
        <v>0.132</v>
      </c>
    </row>
    <row r="82" customFormat="false" ht="15" hidden="false" customHeight="false" outlineLevel="0" collapsed="false">
      <c r="A82" s="9" t="s">
        <v>1110</v>
      </c>
      <c r="B82" s="9" t="s">
        <v>1111</v>
      </c>
      <c r="C82" s="10" t="n">
        <v>8</v>
      </c>
      <c r="D82" s="11" t="n">
        <v>3.77</v>
      </c>
      <c r="E82" s="12" t="n">
        <f aca="false">D82*6</f>
        <v>22.62</v>
      </c>
      <c r="F82" s="12" t="n">
        <f aca="false">D82*12</f>
        <v>45.24</v>
      </c>
      <c r="G82" s="11" t="n">
        <v>4.8</v>
      </c>
      <c r="H82" s="13" t="n">
        <v>0.136</v>
      </c>
    </row>
    <row r="83" customFormat="false" ht="15" hidden="false" customHeight="false" outlineLevel="0" collapsed="false">
      <c r="A83" s="4" t="s">
        <v>1112</v>
      </c>
      <c r="B83" s="4" t="s">
        <v>1113</v>
      </c>
      <c r="C83" s="5" t="n">
        <v>10</v>
      </c>
      <c r="D83" s="6" t="n">
        <v>4.71</v>
      </c>
      <c r="E83" s="7" t="n">
        <f aca="false">D83*6</f>
        <v>28.26</v>
      </c>
      <c r="F83" s="7" t="n">
        <f aca="false">D83*12</f>
        <v>56.52</v>
      </c>
      <c r="G83" s="6" t="n">
        <v>6</v>
      </c>
      <c r="H83" s="8" t="n">
        <v>0.14</v>
      </c>
    </row>
    <row r="84" customFormat="false" ht="15" hidden="false" customHeight="false" outlineLevel="0" collapsed="false">
      <c r="A84" s="9" t="s">
        <v>1114</v>
      </c>
      <c r="B84" s="9" t="s">
        <v>1115</v>
      </c>
      <c r="C84" s="10" t="n">
        <v>12</v>
      </c>
      <c r="D84" s="11" t="n">
        <v>5.65</v>
      </c>
      <c r="E84" s="12" t="n">
        <f aca="false">D84*6</f>
        <v>33.9</v>
      </c>
      <c r="F84" s="12" t="n">
        <f aca="false">D84*12</f>
        <v>67.8</v>
      </c>
      <c r="G84" s="11" t="n">
        <v>7.2</v>
      </c>
      <c r="H84" s="13" t="n">
        <v>0.144</v>
      </c>
    </row>
    <row r="85" customFormat="false" ht="15" hidden="false" customHeight="false" outlineLevel="0" collapsed="false">
      <c r="A85" s="4" t="s">
        <v>1116</v>
      </c>
      <c r="B85" s="4" t="s">
        <v>1117</v>
      </c>
      <c r="C85" s="5" t="n">
        <v>15</v>
      </c>
      <c r="D85" s="6" t="n">
        <v>7.06</v>
      </c>
      <c r="E85" s="7" t="n">
        <f aca="false">D85*6</f>
        <v>42.36</v>
      </c>
      <c r="F85" s="7" t="n">
        <f aca="false">D85*12</f>
        <v>84.72</v>
      </c>
      <c r="G85" s="6" t="n">
        <v>9</v>
      </c>
      <c r="H85" s="8" t="n">
        <v>0.15</v>
      </c>
    </row>
    <row r="86" customFormat="false" ht="15" hidden="false" customHeight="false" outlineLevel="0" collapsed="false">
      <c r="A86" s="9" t="s">
        <v>1118</v>
      </c>
      <c r="B86" s="9" t="s">
        <v>221</v>
      </c>
      <c r="C86" s="10" t="n">
        <v>20</v>
      </c>
      <c r="D86" s="11" t="n">
        <v>9.42</v>
      </c>
      <c r="E86" s="12" t="n">
        <f aca="false">D86*6</f>
        <v>56.52</v>
      </c>
      <c r="F86" s="12" t="n">
        <f aca="false">D86*12</f>
        <v>113.04</v>
      </c>
      <c r="G86" s="11" t="n">
        <v>12</v>
      </c>
      <c r="H86" s="13" t="n">
        <v>0.16</v>
      </c>
    </row>
    <row r="87" customFormat="false" ht="15" hidden="false" customHeight="false" outlineLevel="0" collapsed="false">
      <c r="A87" s="4" t="s">
        <v>1119</v>
      </c>
      <c r="B87" s="4" t="s">
        <v>1120</v>
      </c>
      <c r="C87" s="5" t="n">
        <v>25</v>
      </c>
      <c r="D87" s="6" t="n">
        <v>11.77</v>
      </c>
      <c r="E87" s="7" t="n">
        <f aca="false">D87*6</f>
        <v>70.62</v>
      </c>
      <c r="F87" s="7" t="n">
        <f aca="false">D87*12</f>
        <v>141.24</v>
      </c>
      <c r="G87" s="6" t="n">
        <v>15</v>
      </c>
      <c r="H87" s="8" t="n">
        <v>0.17</v>
      </c>
    </row>
    <row r="88" customFormat="false" ht="15" hidden="false" customHeight="false" outlineLevel="0" collapsed="false">
      <c r="A88" s="9" t="s">
        <v>1121</v>
      </c>
      <c r="B88" s="9" t="s">
        <v>227</v>
      </c>
      <c r="C88" s="10" t="n">
        <v>30</v>
      </c>
      <c r="D88" s="11" t="n">
        <v>14.13</v>
      </c>
      <c r="E88" s="12" t="n">
        <f aca="false">D88*6</f>
        <v>84.78</v>
      </c>
      <c r="F88" s="12" t="n">
        <f aca="false">D88*12</f>
        <v>169.56</v>
      </c>
      <c r="G88" s="11" t="n">
        <v>18</v>
      </c>
      <c r="H88" s="13" t="n">
        <v>0.18</v>
      </c>
    </row>
    <row r="89" customFormat="false" ht="15" hidden="false" customHeight="false" outlineLevel="0" collapsed="false">
      <c r="A89" s="4" t="s">
        <v>1122</v>
      </c>
      <c r="B89" s="4" t="s">
        <v>1123</v>
      </c>
      <c r="C89" s="5" t="n">
        <v>3</v>
      </c>
      <c r="D89" s="6" t="n">
        <v>1.65</v>
      </c>
      <c r="E89" s="7" t="n">
        <f aca="false">D89*6</f>
        <v>9.9</v>
      </c>
      <c r="F89" s="7" t="n">
        <f aca="false">D89*12</f>
        <v>19.8</v>
      </c>
      <c r="G89" s="6" t="n">
        <v>2.1</v>
      </c>
      <c r="H89" s="8" t="n">
        <v>0.146</v>
      </c>
    </row>
    <row r="90" customFormat="false" ht="15" hidden="false" customHeight="false" outlineLevel="0" collapsed="false">
      <c r="A90" s="9" t="s">
        <v>1124</v>
      </c>
      <c r="B90" s="9" t="s">
        <v>1125</v>
      </c>
      <c r="C90" s="10" t="n">
        <v>4</v>
      </c>
      <c r="D90" s="11" t="n">
        <v>2.2</v>
      </c>
      <c r="E90" s="12" t="n">
        <f aca="false">D90*6</f>
        <v>13.2</v>
      </c>
      <c r="F90" s="12" t="n">
        <f aca="false">D90*12</f>
        <v>26.4</v>
      </c>
      <c r="G90" s="11" t="n">
        <v>2.8</v>
      </c>
      <c r="H90" s="13" t="n">
        <v>0.148</v>
      </c>
    </row>
    <row r="91" customFormat="false" ht="15" hidden="false" customHeight="false" outlineLevel="0" collapsed="false">
      <c r="A91" s="4" t="s">
        <v>1126</v>
      </c>
      <c r="B91" s="4" t="s">
        <v>1127</v>
      </c>
      <c r="C91" s="5" t="n">
        <v>5</v>
      </c>
      <c r="D91" s="6" t="n">
        <v>2.75</v>
      </c>
      <c r="E91" s="7" t="n">
        <f aca="false">D91*6</f>
        <v>16.5</v>
      </c>
      <c r="F91" s="7" t="n">
        <f aca="false">D91*12</f>
        <v>33</v>
      </c>
      <c r="G91" s="6" t="n">
        <v>3.5</v>
      </c>
      <c r="H91" s="8" t="n">
        <v>0.15</v>
      </c>
    </row>
    <row r="92" customFormat="false" ht="15" hidden="false" customHeight="false" outlineLevel="0" collapsed="false">
      <c r="A92" s="9" t="s">
        <v>1128</v>
      </c>
      <c r="B92" s="9" t="s">
        <v>1129</v>
      </c>
      <c r="C92" s="10" t="n">
        <v>6</v>
      </c>
      <c r="D92" s="11" t="n">
        <v>3.3</v>
      </c>
      <c r="E92" s="12" t="n">
        <f aca="false">D92*6</f>
        <v>19.8</v>
      </c>
      <c r="F92" s="12" t="n">
        <f aca="false">D92*12</f>
        <v>39.6</v>
      </c>
      <c r="G92" s="11" t="n">
        <v>4.2</v>
      </c>
      <c r="H92" s="13" t="n">
        <v>0.152</v>
      </c>
    </row>
    <row r="93" customFormat="false" ht="15" hidden="false" customHeight="false" outlineLevel="0" collapsed="false">
      <c r="A93" s="4" t="s">
        <v>1130</v>
      </c>
      <c r="B93" s="4" t="s">
        <v>1131</v>
      </c>
      <c r="C93" s="5" t="n">
        <v>8</v>
      </c>
      <c r="D93" s="6" t="n">
        <v>4.4</v>
      </c>
      <c r="E93" s="7" t="n">
        <f aca="false">D93*6</f>
        <v>26.4</v>
      </c>
      <c r="F93" s="7" t="n">
        <f aca="false">D93*12</f>
        <v>52.8</v>
      </c>
      <c r="G93" s="6" t="n">
        <v>5.6</v>
      </c>
      <c r="H93" s="8" t="n">
        <v>0.156</v>
      </c>
    </row>
    <row r="94" customFormat="false" ht="15" hidden="false" customHeight="false" outlineLevel="0" collapsed="false">
      <c r="A94" s="9" t="s">
        <v>1132</v>
      </c>
      <c r="B94" s="9" t="s">
        <v>1133</v>
      </c>
      <c r="C94" s="10" t="n">
        <v>10</v>
      </c>
      <c r="D94" s="11" t="n">
        <v>5.49</v>
      </c>
      <c r="E94" s="12" t="n">
        <f aca="false">D94*6</f>
        <v>32.94</v>
      </c>
      <c r="F94" s="12" t="n">
        <f aca="false">D94*12</f>
        <v>65.88</v>
      </c>
      <c r="G94" s="11" t="n">
        <v>7</v>
      </c>
      <c r="H94" s="13" t="n">
        <v>0.16</v>
      </c>
    </row>
    <row r="95" customFormat="false" ht="15" hidden="false" customHeight="false" outlineLevel="0" collapsed="false">
      <c r="A95" s="4" t="s">
        <v>1134</v>
      </c>
      <c r="B95" s="4" t="s">
        <v>1135</v>
      </c>
      <c r="C95" s="5" t="n">
        <v>12</v>
      </c>
      <c r="D95" s="6" t="n">
        <v>6.59</v>
      </c>
      <c r="E95" s="7" t="n">
        <f aca="false">D95*6</f>
        <v>39.54</v>
      </c>
      <c r="F95" s="7" t="n">
        <f aca="false">D95*12</f>
        <v>79.08</v>
      </c>
      <c r="G95" s="6" t="n">
        <v>8.4</v>
      </c>
      <c r="H95" s="8" t="n">
        <v>0.164</v>
      </c>
    </row>
    <row r="96" customFormat="false" ht="15" hidden="false" customHeight="false" outlineLevel="0" collapsed="false">
      <c r="A96" s="9" t="s">
        <v>1136</v>
      </c>
      <c r="B96" s="9" t="s">
        <v>1137</v>
      </c>
      <c r="C96" s="10" t="n">
        <v>15</v>
      </c>
      <c r="D96" s="11" t="n">
        <v>8.24</v>
      </c>
      <c r="E96" s="12" t="n">
        <f aca="false">D96*6</f>
        <v>49.44</v>
      </c>
      <c r="F96" s="12" t="n">
        <f aca="false">D96*12</f>
        <v>98.88</v>
      </c>
      <c r="G96" s="11" t="n">
        <v>10.5</v>
      </c>
      <c r="H96" s="13" t="n">
        <v>0.17</v>
      </c>
    </row>
    <row r="97" customFormat="false" ht="15" hidden="false" customHeight="false" outlineLevel="0" collapsed="false">
      <c r="A97" s="4" t="s">
        <v>1138</v>
      </c>
      <c r="B97" s="4" t="s">
        <v>1139</v>
      </c>
      <c r="C97" s="5" t="n">
        <v>20</v>
      </c>
      <c r="D97" s="6" t="n">
        <v>10.99</v>
      </c>
      <c r="E97" s="7" t="n">
        <f aca="false">D97*6</f>
        <v>65.94</v>
      </c>
      <c r="F97" s="7" t="n">
        <f aca="false">D97*12</f>
        <v>131.88</v>
      </c>
      <c r="G97" s="6" t="n">
        <v>14</v>
      </c>
      <c r="H97" s="8" t="n">
        <v>0.18</v>
      </c>
    </row>
    <row r="98" customFormat="false" ht="15" hidden="false" customHeight="false" outlineLevel="0" collapsed="false">
      <c r="A98" s="9" t="s">
        <v>1140</v>
      </c>
      <c r="B98" s="9" t="s">
        <v>1141</v>
      </c>
      <c r="C98" s="10" t="n">
        <v>25</v>
      </c>
      <c r="D98" s="11" t="n">
        <v>13.74</v>
      </c>
      <c r="E98" s="12" t="n">
        <f aca="false">D98*6</f>
        <v>82.44</v>
      </c>
      <c r="F98" s="12" t="n">
        <f aca="false">D98*12</f>
        <v>164.88</v>
      </c>
      <c r="G98" s="11" t="n">
        <v>17.5</v>
      </c>
      <c r="H98" s="13" t="n">
        <v>0.19</v>
      </c>
    </row>
    <row r="99" customFormat="false" ht="15" hidden="false" customHeight="false" outlineLevel="0" collapsed="false">
      <c r="A99" s="4" t="s">
        <v>1142</v>
      </c>
      <c r="B99" s="4" t="s">
        <v>239</v>
      </c>
      <c r="C99" s="5" t="n">
        <v>30</v>
      </c>
      <c r="D99" s="6" t="n">
        <v>16.48</v>
      </c>
      <c r="E99" s="7" t="n">
        <f aca="false">D99*6</f>
        <v>98.88</v>
      </c>
      <c r="F99" s="7" t="n">
        <f aca="false">D99*12</f>
        <v>197.76</v>
      </c>
      <c r="G99" s="6" t="n">
        <v>21</v>
      </c>
      <c r="H99" s="8" t="n">
        <v>0.2</v>
      </c>
    </row>
    <row r="100" customFormat="false" ht="15" hidden="false" customHeight="false" outlineLevel="0" collapsed="false">
      <c r="A100" s="9" t="s">
        <v>1143</v>
      </c>
      <c r="B100" s="9" t="s">
        <v>1144</v>
      </c>
      <c r="C100" s="10" t="n">
        <v>3</v>
      </c>
      <c r="D100" s="11" t="n">
        <v>1.88</v>
      </c>
      <c r="E100" s="12" t="n">
        <f aca="false">D100*6</f>
        <v>11.28</v>
      </c>
      <c r="F100" s="12" t="n">
        <f aca="false">D100*12</f>
        <v>22.56</v>
      </c>
      <c r="G100" s="11" t="n">
        <v>2.4</v>
      </c>
      <c r="H100" s="13" t="n">
        <v>0.166</v>
      </c>
    </row>
    <row r="101" customFormat="false" ht="15" hidden="false" customHeight="false" outlineLevel="0" collapsed="false">
      <c r="A101" s="4" t="s">
        <v>1145</v>
      </c>
      <c r="B101" s="4" t="s">
        <v>1146</v>
      </c>
      <c r="C101" s="5" t="n">
        <v>4</v>
      </c>
      <c r="D101" s="6" t="n">
        <v>2.51</v>
      </c>
      <c r="E101" s="7" t="n">
        <f aca="false">D101*6</f>
        <v>15.06</v>
      </c>
      <c r="F101" s="7" t="n">
        <f aca="false">D101*12</f>
        <v>30.12</v>
      </c>
      <c r="G101" s="6" t="n">
        <v>3.2</v>
      </c>
      <c r="H101" s="8" t="n">
        <v>0.168</v>
      </c>
    </row>
    <row r="102" customFormat="false" ht="15" hidden="false" customHeight="false" outlineLevel="0" collapsed="false">
      <c r="A102" s="9" t="s">
        <v>1147</v>
      </c>
      <c r="B102" s="9" t="s">
        <v>1148</v>
      </c>
      <c r="C102" s="10" t="n">
        <v>5</v>
      </c>
      <c r="D102" s="11" t="n">
        <v>3.14</v>
      </c>
      <c r="E102" s="12" t="n">
        <f aca="false">D102*6</f>
        <v>18.84</v>
      </c>
      <c r="F102" s="12" t="n">
        <f aca="false">D102*12</f>
        <v>37.68</v>
      </c>
      <c r="G102" s="11" t="n">
        <v>4</v>
      </c>
      <c r="H102" s="13" t="n">
        <v>0.17</v>
      </c>
    </row>
    <row r="103" customFormat="false" ht="15" hidden="false" customHeight="false" outlineLevel="0" collapsed="false">
      <c r="A103" s="4" t="s">
        <v>1149</v>
      </c>
      <c r="B103" s="4" t="s">
        <v>1150</v>
      </c>
      <c r="C103" s="5" t="n">
        <v>6</v>
      </c>
      <c r="D103" s="6" t="n">
        <v>3.77</v>
      </c>
      <c r="E103" s="7" t="n">
        <f aca="false">D103*6</f>
        <v>22.62</v>
      </c>
      <c r="F103" s="7" t="n">
        <f aca="false">D103*12</f>
        <v>45.24</v>
      </c>
      <c r="G103" s="6" t="n">
        <v>4.8</v>
      </c>
      <c r="H103" s="8" t="n">
        <v>0.172</v>
      </c>
    </row>
    <row r="104" customFormat="false" ht="15" hidden="false" customHeight="false" outlineLevel="0" collapsed="false">
      <c r="A104" s="9" t="s">
        <v>1151</v>
      </c>
      <c r="B104" s="9" t="s">
        <v>1152</v>
      </c>
      <c r="C104" s="10" t="n">
        <v>8</v>
      </c>
      <c r="D104" s="11" t="n">
        <v>5.02</v>
      </c>
      <c r="E104" s="12" t="n">
        <f aca="false">D104*6</f>
        <v>30.12</v>
      </c>
      <c r="F104" s="12" t="n">
        <f aca="false">D104*12</f>
        <v>60.24</v>
      </c>
      <c r="G104" s="11" t="n">
        <v>6.4</v>
      </c>
      <c r="H104" s="13" t="n">
        <v>0.176</v>
      </c>
    </row>
    <row r="105" customFormat="false" ht="15" hidden="false" customHeight="false" outlineLevel="0" collapsed="false">
      <c r="A105" s="4" t="s">
        <v>1153</v>
      </c>
      <c r="B105" s="4" t="s">
        <v>1154</v>
      </c>
      <c r="C105" s="5" t="n">
        <v>10</v>
      </c>
      <c r="D105" s="6" t="n">
        <v>6.28</v>
      </c>
      <c r="E105" s="7" t="n">
        <f aca="false">D105*6</f>
        <v>37.68</v>
      </c>
      <c r="F105" s="7" t="n">
        <f aca="false">D105*12</f>
        <v>75.36</v>
      </c>
      <c r="G105" s="6" t="n">
        <v>8</v>
      </c>
      <c r="H105" s="8" t="n">
        <v>0.18</v>
      </c>
    </row>
    <row r="106" customFormat="false" ht="15" hidden="false" customHeight="false" outlineLevel="0" collapsed="false">
      <c r="A106" s="9" t="s">
        <v>1155</v>
      </c>
      <c r="B106" s="9" t="s">
        <v>1156</v>
      </c>
      <c r="C106" s="10" t="n">
        <v>12</v>
      </c>
      <c r="D106" s="11" t="n">
        <v>7.54</v>
      </c>
      <c r="E106" s="12" t="n">
        <f aca="false">D106*6</f>
        <v>45.24</v>
      </c>
      <c r="F106" s="12" t="n">
        <f aca="false">D106*12</f>
        <v>90.48</v>
      </c>
      <c r="G106" s="11" t="n">
        <v>9.6</v>
      </c>
      <c r="H106" s="13" t="n">
        <v>0.184</v>
      </c>
    </row>
    <row r="107" customFormat="false" ht="15" hidden="false" customHeight="false" outlineLevel="0" collapsed="false">
      <c r="A107" s="4" t="s">
        <v>1157</v>
      </c>
      <c r="B107" s="4" t="s">
        <v>1158</v>
      </c>
      <c r="C107" s="5" t="n">
        <v>15</v>
      </c>
      <c r="D107" s="6" t="n">
        <v>9.42</v>
      </c>
      <c r="E107" s="7" t="n">
        <f aca="false">D107*6</f>
        <v>56.52</v>
      </c>
      <c r="F107" s="7" t="n">
        <f aca="false">D107*12</f>
        <v>113.04</v>
      </c>
      <c r="G107" s="6" t="n">
        <v>12</v>
      </c>
      <c r="H107" s="8" t="n">
        <v>0.19</v>
      </c>
    </row>
    <row r="108" customFormat="false" ht="15" hidden="false" customHeight="false" outlineLevel="0" collapsed="false">
      <c r="A108" s="9" t="s">
        <v>1159</v>
      </c>
      <c r="B108" s="9" t="s">
        <v>257</v>
      </c>
      <c r="C108" s="10" t="n">
        <v>20</v>
      </c>
      <c r="D108" s="11" t="n">
        <v>12.56</v>
      </c>
      <c r="E108" s="12" t="n">
        <f aca="false">D108*6</f>
        <v>75.36</v>
      </c>
      <c r="F108" s="12" t="n">
        <f aca="false">D108*12</f>
        <v>150.72</v>
      </c>
      <c r="G108" s="11" t="n">
        <v>16</v>
      </c>
      <c r="H108" s="13" t="n">
        <v>0.2</v>
      </c>
    </row>
    <row r="109" customFormat="false" ht="15" hidden="false" customHeight="false" outlineLevel="0" collapsed="false">
      <c r="A109" s="4" t="s">
        <v>1160</v>
      </c>
      <c r="B109" s="4" t="s">
        <v>1161</v>
      </c>
      <c r="C109" s="5" t="n">
        <v>25</v>
      </c>
      <c r="D109" s="6" t="n">
        <v>15.7</v>
      </c>
      <c r="E109" s="7" t="n">
        <f aca="false">D109*6</f>
        <v>94.2</v>
      </c>
      <c r="F109" s="7" t="n">
        <f aca="false">D109*12</f>
        <v>188.4</v>
      </c>
      <c r="G109" s="6" t="n">
        <v>20</v>
      </c>
      <c r="H109" s="8" t="n">
        <v>0.21</v>
      </c>
    </row>
    <row r="110" customFormat="false" ht="15" hidden="false" customHeight="false" outlineLevel="0" collapsed="false">
      <c r="A110" s="9" t="s">
        <v>1162</v>
      </c>
      <c r="B110" s="9" t="s">
        <v>1163</v>
      </c>
      <c r="C110" s="10" t="n">
        <v>30</v>
      </c>
      <c r="D110" s="11" t="n">
        <v>18.84</v>
      </c>
      <c r="E110" s="12" t="n">
        <f aca="false">D110*6</f>
        <v>113.04</v>
      </c>
      <c r="F110" s="12" t="n">
        <f aca="false">D110*12</f>
        <v>226.08</v>
      </c>
      <c r="G110" s="11" t="n">
        <v>24</v>
      </c>
      <c r="H110" s="13" t="n">
        <v>0.22</v>
      </c>
    </row>
    <row r="111" customFormat="false" ht="15" hidden="false" customHeight="false" outlineLevel="0" collapsed="false">
      <c r="A111" s="4" t="s">
        <v>1164</v>
      </c>
      <c r="B111" s="4" t="s">
        <v>1165</v>
      </c>
      <c r="C111" s="5" t="n">
        <v>3</v>
      </c>
      <c r="D111" s="6" t="n">
        <v>2.12</v>
      </c>
      <c r="E111" s="7" t="n">
        <f aca="false">D111*6</f>
        <v>12.72</v>
      </c>
      <c r="F111" s="7" t="n">
        <f aca="false">D111*12</f>
        <v>25.44</v>
      </c>
      <c r="G111" s="6" t="n">
        <v>2.7</v>
      </c>
      <c r="H111" s="8" t="n">
        <v>0.186</v>
      </c>
    </row>
    <row r="112" customFormat="false" ht="15" hidden="false" customHeight="false" outlineLevel="0" collapsed="false">
      <c r="A112" s="9" t="s">
        <v>1166</v>
      </c>
      <c r="B112" s="9" t="s">
        <v>1167</v>
      </c>
      <c r="C112" s="10" t="n">
        <v>4</v>
      </c>
      <c r="D112" s="11" t="n">
        <v>2.83</v>
      </c>
      <c r="E112" s="12" t="n">
        <f aca="false">D112*6</f>
        <v>16.98</v>
      </c>
      <c r="F112" s="12" t="n">
        <f aca="false">D112*12</f>
        <v>33.96</v>
      </c>
      <c r="G112" s="11" t="n">
        <v>3.6</v>
      </c>
      <c r="H112" s="13" t="n">
        <v>0.188</v>
      </c>
    </row>
    <row r="113" customFormat="false" ht="15" hidden="false" customHeight="false" outlineLevel="0" collapsed="false">
      <c r="A113" s="4" t="s">
        <v>1168</v>
      </c>
      <c r="B113" s="4" t="s">
        <v>1169</v>
      </c>
      <c r="C113" s="5" t="n">
        <v>5</v>
      </c>
      <c r="D113" s="6" t="n">
        <v>3.53</v>
      </c>
      <c r="E113" s="7" t="n">
        <f aca="false">D113*6</f>
        <v>21.18</v>
      </c>
      <c r="F113" s="7" t="n">
        <f aca="false">D113*12</f>
        <v>42.36</v>
      </c>
      <c r="G113" s="6" t="n">
        <v>4.5</v>
      </c>
      <c r="H113" s="8" t="n">
        <v>0.19</v>
      </c>
    </row>
    <row r="114" customFormat="false" ht="15" hidden="false" customHeight="false" outlineLevel="0" collapsed="false">
      <c r="A114" s="9" t="s">
        <v>1170</v>
      </c>
      <c r="B114" s="9" t="s">
        <v>1171</v>
      </c>
      <c r="C114" s="10" t="n">
        <v>6</v>
      </c>
      <c r="D114" s="11" t="n">
        <v>4.24</v>
      </c>
      <c r="E114" s="12" t="n">
        <f aca="false">D114*6</f>
        <v>25.44</v>
      </c>
      <c r="F114" s="12" t="n">
        <f aca="false">D114*12</f>
        <v>50.88</v>
      </c>
      <c r="G114" s="11" t="n">
        <v>5.4</v>
      </c>
      <c r="H114" s="13" t="n">
        <v>0.192</v>
      </c>
    </row>
    <row r="115" customFormat="false" ht="15" hidden="false" customHeight="false" outlineLevel="0" collapsed="false">
      <c r="A115" s="4" t="s">
        <v>1172</v>
      </c>
      <c r="B115" s="4" t="s">
        <v>1173</v>
      </c>
      <c r="C115" s="5" t="n">
        <v>8</v>
      </c>
      <c r="D115" s="6" t="n">
        <v>5.65</v>
      </c>
      <c r="E115" s="7" t="n">
        <f aca="false">D115*6</f>
        <v>33.9</v>
      </c>
      <c r="F115" s="7" t="n">
        <f aca="false">D115*12</f>
        <v>67.8</v>
      </c>
      <c r="G115" s="6" t="n">
        <v>7.2</v>
      </c>
      <c r="H115" s="8" t="n">
        <v>0.196</v>
      </c>
    </row>
    <row r="116" customFormat="false" ht="15" hidden="false" customHeight="false" outlineLevel="0" collapsed="false">
      <c r="A116" s="9" t="s">
        <v>1174</v>
      </c>
      <c r="B116" s="9" t="s">
        <v>1175</v>
      </c>
      <c r="C116" s="10" t="n">
        <v>10</v>
      </c>
      <c r="D116" s="11" t="n">
        <v>7.06</v>
      </c>
      <c r="E116" s="12" t="n">
        <f aca="false">D116*6</f>
        <v>42.36</v>
      </c>
      <c r="F116" s="12" t="n">
        <f aca="false">D116*12</f>
        <v>84.72</v>
      </c>
      <c r="G116" s="11" t="n">
        <v>9</v>
      </c>
      <c r="H116" s="13" t="n">
        <v>0.2</v>
      </c>
    </row>
    <row r="117" customFormat="false" ht="15" hidden="false" customHeight="false" outlineLevel="0" collapsed="false">
      <c r="A117" s="4" t="s">
        <v>1176</v>
      </c>
      <c r="B117" s="4" t="s">
        <v>1177</v>
      </c>
      <c r="C117" s="5" t="n">
        <v>12</v>
      </c>
      <c r="D117" s="6" t="n">
        <v>8.48</v>
      </c>
      <c r="E117" s="7" t="n">
        <f aca="false">D117*6</f>
        <v>50.88</v>
      </c>
      <c r="F117" s="7" t="n">
        <f aca="false">D117*12</f>
        <v>101.76</v>
      </c>
      <c r="G117" s="6" t="n">
        <v>10.8</v>
      </c>
      <c r="H117" s="8" t="n">
        <v>0.204</v>
      </c>
    </row>
    <row r="118" customFormat="false" ht="15" hidden="false" customHeight="false" outlineLevel="0" collapsed="false">
      <c r="A118" s="9" t="s">
        <v>1178</v>
      </c>
      <c r="B118" s="9" t="s">
        <v>1179</v>
      </c>
      <c r="C118" s="10" t="n">
        <v>15</v>
      </c>
      <c r="D118" s="11" t="n">
        <v>10.6</v>
      </c>
      <c r="E118" s="12" t="n">
        <f aca="false">D118*6</f>
        <v>63.6</v>
      </c>
      <c r="F118" s="12" t="n">
        <f aca="false">D118*12</f>
        <v>127.2</v>
      </c>
      <c r="G118" s="11" t="n">
        <v>13.5</v>
      </c>
      <c r="H118" s="13" t="n">
        <v>0.21</v>
      </c>
    </row>
    <row r="119" customFormat="false" ht="15" hidden="false" customHeight="false" outlineLevel="0" collapsed="false">
      <c r="A119" s="4" t="s">
        <v>1180</v>
      </c>
      <c r="B119" s="4" t="s">
        <v>1181</v>
      </c>
      <c r="C119" s="5" t="n">
        <v>20</v>
      </c>
      <c r="D119" s="6" t="n">
        <v>14.13</v>
      </c>
      <c r="E119" s="7" t="n">
        <f aca="false">D119*6</f>
        <v>84.78</v>
      </c>
      <c r="F119" s="7" t="n">
        <f aca="false">D119*12</f>
        <v>169.56</v>
      </c>
      <c r="G119" s="6" t="n">
        <v>18</v>
      </c>
      <c r="H119" s="8" t="n">
        <v>0.22</v>
      </c>
    </row>
    <row r="120" customFormat="false" ht="15" hidden="false" customHeight="false" outlineLevel="0" collapsed="false">
      <c r="A120" s="9" t="s">
        <v>1182</v>
      </c>
      <c r="B120" s="9" t="s">
        <v>1183</v>
      </c>
      <c r="C120" s="10" t="n">
        <v>25</v>
      </c>
      <c r="D120" s="11" t="n">
        <v>17.66</v>
      </c>
      <c r="E120" s="12" t="n">
        <f aca="false">D120*6</f>
        <v>105.96</v>
      </c>
      <c r="F120" s="12" t="n">
        <f aca="false">D120*12</f>
        <v>211.92</v>
      </c>
      <c r="G120" s="11" t="n">
        <v>22.5</v>
      </c>
      <c r="H120" s="13" t="n">
        <v>0.23</v>
      </c>
    </row>
    <row r="121" customFormat="false" ht="15" hidden="false" customHeight="false" outlineLevel="0" collapsed="false">
      <c r="A121" s="4" t="s">
        <v>1184</v>
      </c>
      <c r="B121" s="4" t="s">
        <v>1185</v>
      </c>
      <c r="C121" s="5" t="n">
        <v>30</v>
      </c>
      <c r="D121" s="6" t="n">
        <v>21.19</v>
      </c>
      <c r="E121" s="7" t="n">
        <f aca="false">D121*6</f>
        <v>127.14</v>
      </c>
      <c r="F121" s="7" t="n">
        <f aca="false">D121*12</f>
        <v>254.28</v>
      </c>
      <c r="G121" s="6" t="n">
        <v>27</v>
      </c>
      <c r="H121" s="8" t="n">
        <v>0.24</v>
      </c>
    </row>
    <row r="122" customFormat="false" ht="15" hidden="false" customHeight="false" outlineLevel="0" collapsed="false">
      <c r="A122" s="9" t="s">
        <v>1186</v>
      </c>
      <c r="B122" s="9" t="s">
        <v>1187</v>
      </c>
      <c r="C122" s="10" t="n">
        <v>5</v>
      </c>
      <c r="D122" s="11" t="n">
        <v>3.92</v>
      </c>
      <c r="E122" s="12" t="n">
        <f aca="false">D122*6</f>
        <v>23.52</v>
      </c>
      <c r="F122" s="12" t="n">
        <f aca="false">D122*12</f>
        <v>47.04</v>
      </c>
      <c r="G122" s="11" t="n">
        <v>5</v>
      </c>
      <c r="H122" s="13" t="n">
        <v>0.21</v>
      </c>
    </row>
    <row r="123" customFormat="false" ht="15" hidden="false" customHeight="false" outlineLevel="0" collapsed="false">
      <c r="A123" s="4" t="s">
        <v>1188</v>
      </c>
      <c r="B123" s="4" t="s">
        <v>1189</v>
      </c>
      <c r="C123" s="5" t="n">
        <v>6</v>
      </c>
      <c r="D123" s="6" t="n">
        <v>4.71</v>
      </c>
      <c r="E123" s="7" t="n">
        <f aca="false">D123*6</f>
        <v>28.26</v>
      </c>
      <c r="F123" s="7" t="n">
        <f aca="false">D123*12</f>
        <v>56.52</v>
      </c>
      <c r="G123" s="6" t="n">
        <v>6</v>
      </c>
      <c r="H123" s="8" t="n">
        <v>0.212</v>
      </c>
    </row>
    <row r="124" customFormat="false" ht="15" hidden="false" customHeight="false" outlineLevel="0" collapsed="false">
      <c r="A124" s="9" t="s">
        <v>1190</v>
      </c>
      <c r="B124" s="9" t="s">
        <v>1191</v>
      </c>
      <c r="C124" s="10" t="n">
        <v>8</v>
      </c>
      <c r="D124" s="11" t="n">
        <v>6.28</v>
      </c>
      <c r="E124" s="12" t="n">
        <f aca="false">D124*6</f>
        <v>37.68</v>
      </c>
      <c r="F124" s="12" t="n">
        <f aca="false">D124*12</f>
        <v>75.36</v>
      </c>
      <c r="G124" s="11" t="n">
        <v>8</v>
      </c>
      <c r="H124" s="13" t="n">
        <v>0.216</v>
      </c>
    </row>
    <row r="125" customFormat="false" ht="15" hidden="false" customHeight="false" outlineLevel="0" collapsed="false">
      <c r="A125" s="4" t="s">
        <v>1192</v>
      </c>
      <c r="B125" s="4" t="s">
        <v>1193</v>
      </c>
      <c r="C125" s="5" t="n">
        <v>10</v>
      </c>
      <c r="D125" s="6" t="n">
        <v>7.85</v>
      </c>
      <c r="E125" s="7" t="n">
        <f aca="false">D125*6</f>
        <v>47.1</v>
      </c>
      <c r="F125" s="7" t="n">
        <f aca="false">D125*12</f>
        <v>94.2</v>
      </c>
      <c r="G125" s="6" t="n">
        <v>10</v>
      </c>
      <c r="H125" s="8" t="n">
        <v>0.22</v>
      </c>
    </row>
    <row r="126" customFormat="false" ht="15" hidden="false" customHeight="false" outlineLevel="0" collapsed="false">
      <c r="A126" s="9" t="s">
        <v>1194</v>
      </c>
      <c r="B126" s="9" t="s">
        <v>1195</v>
      </c>
      <c r="C126" s="10" t="n">
        <v>12</v>
      </c>
      <c r="D126" s="11" t="n">
        <v>9.42</v>
      </c>
      <c r="E126" s="12" t="n">
        <f aca="false">D126*6</f>
        <v>56.52</v>
      </c>
      <c r="F126" s="12" t="n">
        <f aca="false">D126*12</f>
        <v>113.04</v>
      </c>
      <c r="G126" s="11" t="n">
        <v>12</v>
      </c>
      <c r="H126" s="13" t="n">
        <v>0.224</v>
      </c>
    </row>
    <row r="127" customFormat="false" ht="15" hidden="false" customHeight="false" outlineLevel="0" collapsed="false">
      <c r="A127" s="4" t="s">
        <v>1196</v>
      </c>
      <c r="B127" s="4" t="s">
        <v>1197</v>
      </c>
      <c r="C127" s="5" t="n">
        <v>15</v>
      </c>
      <c r="D127" s="6" t="n">
        <v>11.77</v>
      </c>
      <c r="E127" s="7" t="n">
        <f aca="false">D127*6</f>
        <v>70.62</v>
      </c>
      <c r="F127" s="7" t="n">
        <f aca="false">D127*12</f>
        <v>141.24</v>
      </c>
      <c r="G127" s="6" t="n">
        <v>15</v>
      </c>
      <c r="H127" s="8" t="n">
        <v>0.23</v>
      </c>
    </row>
    <row r="128" customFormat="false" ht="15" hidden="false" customHeight="false" outlineLevel="0" collapsed="false">
      <c r="A128" s="9" t="s">
        <v>1198</v>
      </c>
      <c r="B128" s="9" t="s">
        <v>282</v>
      </c>
      <c r="C128" s="10" t="n">
        <v>20</v>
      </c>
      <c r="D128" s="11" t="n">
        <v>15.7</v>
      </c>
      <c r="E128" s="12" t="n">
        <f aca="false">D128*6</f>
        <v>94.2</v>
      </c>
      <c r="F128" s="12" t="n">
        <f aca="false">D128*12</f>
        <v>188.4</v>
      </c>
      <c r="G128" s="11" t="n">
        <v>20</v>
      </c>
      <c r="H128" s="13" t="n">
        <v>0.24</v>
      </c>
    </row>
    <row r="129" customFormat="false" ht="15" hidden="false" customHeight="false" outlineLevel="0" collapsed="false">
      <c r="A129" s="4" t="s">
        <v>1199</v>
      </c>
      <c r="B129" s="4" t="s">
        <v>1200</v>
      </c>
      <c r="C129" s="5" t="n">
        <v>25</v>
      </c>
      <c r="D129" s="6" t="n">
        <v>19.62</v>
      </c>
      <c r="E129" s="7" t="n">
        <f aca="false">D129*6</f>
        <v>117.72</v>
      </c>
      <c r="F129" s="7" t="n">
        <f aca="false">D129*12</f>
        <v>235.44</v>
      </c>
      <c r="G129" s="6" t="n">
        <v>25</v>
      </c>
      <c r="H129" s="8" t="n">
        <v>0.25</v>
      </c>
    </row>
    <row r="130" customFormat="false" ht="15" hidden="false" customHeight="false" outlineLevel="0" collapsed="false">
      <c r="A130" s="9" t="s">
        <v>1201</v>
      </c>
      <c r="B130" s="9" t="s">
        <v>288</v>
      </c>
      <c r="C130" s="10" t="n">
        <v>30</v>
      </c>
      <c r="D130" s="11" t="n">
        <v>23.55</v>
      </c>
      <c r="E130" s="12" t="n">
        <f aca="false">D130*6</f>
        <v>141.3</v>
      </c>
      <c r="F130" s="12" t="n">
        <f aca="false">D130*12</f>
        <v>282.6</v>
      </c>
      <c r="G130" s="11" t="n">
        <v>30</v>
      </c>
      <c r="H130" s="13" t="n">
        <v>0.26</v>
      </c>
    </row>
    <row r="131" customFormat="false" ht="15" hidden="false" customHeight="false" outlineLevel="0" collapsed="false">
      <c r="A131" s="4" t="s">
        <v>1202</v>
      </c>
      <c r="B131" s="4" t="s">
        <v>1203</v>
      </c>
      <c r="C131" s="5" t="n">
        <v>5</v>
      </c>
      <c r="D131" s="6" t="n">
        <v>4.32</v>
      </c>
      <c r="E131" s="7" t="n">
        <f aca="false">D131*6</f>
        <v>25.92</v>
      </c>
      <c r="F131" s="7" t="n">
        <f aca="false">D131*12</f>
        <v>51.84</v>
      </c>
      <c r="G131" s="6" t="n">
        <v>5.5</v>
      </c>
      <c r="H131" s="8" t="n">
        <v>0.23</v>
      </c>
    </row>
    <row r="132" customFormat="false" ht="15" hidden="false" customHeight="false" outlineLevel="0" collapsed="false">
      <c r="A132" s="9" t="s">
        <v>1204</v>
      </c>
      <c r="B132" s="9" t="s">
        <v>1205</v>
      </c>
      <c r="C132" s="10" t="n">
        <v>6</v>
      </c>
      <c r="D132" s="11" t="n">
        <v>5.18</v>
      </c>
      <c r="E132" s="12" t="n">
        <f aca="false">D132*6</f>
        <v>31.08</v>
      </c>
      <c r="F132" s="12" t="n">
        <f aca="false">D132*12</f>
        <v>62.16</v>
      </c>
      <c r="G132" s="11" t="n">
        <v>6.6</v>
      </c>
      <c r="H132" s="13" t="n">
        <v>0.232</v>
      </c>
    </row>
    <row r="133" customFormat="false" ht="15" hidden="false" customHeight="false" outlineLevel="0" collapsed="false">
      <c r="A133" s="4" t="s">
        <v>1206</v>
      </c>
      <c r="B133" s="4" t="s">
        <v>1207</v>
      </c>
      <c r="C133" s="5" t="n">
        <v>8</v>
      </c>
      <c r="D133" s="6" t="n">
        <v>6.91</v>
      </c>
      <c r="E133" s="7" t="n">
        <f aca="false">D133*6</f>
        <v>41.46</v>
      </c>
      <c r="F133" s="7" t="n">
        <f aca="false">D133*12</f>
        <v>82.92</v>
      </c>
      <c r="G133" s="6" t="n">
        <v>8.8</v>
      </c>
      <c r="H133" s="8" t="n">
        <v>0.236</v>
      </c>
    </row>
    <row r="134" customFormat="false" ht="15" hidden="false" customHeight="false" outlineLevel="0" collapsed="false">
      <c r="A134" s="9" t="s">
        <v>1208</v>
      </c>
      <c r="B134" s="9" t="s">
        <v>1209</v>
      </c>
      <c r="C134" s="10" t="n">
        <v>10</v>
      </c>
      <c r="D134" s="11" t="n">
        <v>8.63</v>
      </c>
      <c r="E134" s="12" t="n">
        <f aca="false">D134*6</f>
        <v>51.78</v>
      </c>
      <c r="F134" s="12" t="n">
        <f aca="false">D134*12</f>
        <v>103.56</v>
      </c>
      <c r="G134" s="11" t="n">
        <v>11</v>
      </c>
      <c r="H134" s="13" t="n">
        <v>0.24</v>
      </c>
    </row>
    <row r="135" customFormat="false" ht="15" hidden="false" customHeight="false" outlineLevel="0" collapsed="false">
      <c r="A135" s="4" t="s">
        <v>1210</v>
      </c>
      <c r="B135" s="4" t="s">
        <v>1211</v>
      </c>
      <c r="C135" s="5" t="n">
        <v>12</v>
      </c>
      <c r="D135" s="6" t="n">
        <v>10.36</v>
      </c>
      <c r="E135" s="7" t="n">
        <f aca="false">D135*6</f>
        <v>62.16</v>
      </c>
      <c r="F135" s="7" t="n">
        <f aca="false">D135*12</f>
        <v>124.32</v>
      </c>
      <c r="G135" s="6" t="n">
        <v>13.2</v>
      </c>
      <c r="H135" s="8" t="n">
        <v>0.244</v>
      </c>
    </row>
    <row r="136" customFormat="false" ht="15" hidden="false" customHeight="false" outlineLevel="0" collapsed="false">
      <c r="A136" s="9" t="s">
        <v>1212</v>
      </c>
      <c r="B136" s="9" t="s">
        <v>1213</v>
      </c>
      <c r="C136" s="10" t="n">
        <v>15</v>
      </c>
      <c r="D136" s="11" t="n">
        <v>12.95</v>
      </c>
      <c r="E136" s="12" t="n">
        <f aca="false">D136*6</f>
        <v>77.7</v>
      </c>
      <c r="F136" s="12" t="n">
        <f aca="false">D136*12</f>
        <v>155.4</v>
      </c>
      <c r="G136" s="11" t="n">
        <v>16.5</v>
      </c>
      <c r="H136" s="13" t="n">
        <v>0.25</v>
      </c>
    </row>
    <row r="137" customFormat="false" ht="15" hidden="false" customHeight="false" outlineLevel="0" collapsed="false">
      <c r="A137" s="4" t="s">
        <v>1214</v>
      </c>
      <c r="B137" s="4" t="s">
        <v>1215</v>
      </c>
      <c r="C137" s="5" t="n">
        <v>20</v>
      </c>
      <c r="D137" s="6" t="n">
        <v>17.27</v>
      </c>
      <c r="E137" s="7" t="n">
        <f aca="false">D137*6</f>
        <v>103.62</v>
      </c>
      <c r="F137" s="7" t="n">
        <f aca="false">D137*12</f>
        <v>207.24</v>
      </c>
      <c r="G137" s="6" t="n">
        <v>22</v>
      </c>
      <c r="H137" s="8" t="n">
        <v>0.26</v>
      </c>
    </row>
    <row r="138" customFormat="false" ht="15" hidden="false" customHeight="false" outlineLevel="0" collapsed="false">
      <c r="A138" s="9" t="s">
        <v>1216</v>
      </c>
      <c r="B138" s="9" t="s">
        <v>1217</v>
      </c>
      <c r="C138" s="10" t="n">
        <v>25</v>
      </c>
      <c r="D138" s="11" t="n">
        <v>21.59</v>
      </c>
      <c r="E138" s="12" t="n">
        <f aca="false">D138*6</f>
        <v>129.54</v>
      </c>
      <c r="F138" s="12" t="n">
        <f aca="false">D138*12</f>
        <v>259.08</v>
      </c>
      <c r="G138" s="11" t="n">
        <v>27.5</v>
      </c>
      <c r="H138" s="13" t="n">
        <v>0.27</v>
      </c>
    </row>
    <row r="139" customFormat="false" ht="15" hidden="false" customHeight="false" outlineLevel="0" collapsed="false">
      <c r="A139" s="4" t="s">
        <v>1218</v>
      </c>
      <c r="B139" s="4" t="s">
        <v>1219</v>
      </c>
      <c r="C139" s="5" t="n">
        <v>30</v>
      </c>
      <c r="D139" s="6" t="n">
        <v>25.9</v>
      </c>
      <c r="E139" s="7" t="n">
        <f aca="false">D139*6</f>
        <v>155.4</v>
      </c>
      <c r="F139" s="7" t="n">
        <f aca="false">D139*12</f>
        <v>310.8</v>
      </c>
      <c r="G139" s="6" t="n">
        <v>33</v>
      </c>
      <c r="H139" s="8" t="n">
        <v>0.28</v>
      </c>
    </row>
    <row r="140" customFormat="false" ht="15" hidden="false" customHeight="false" outlineLevel="0" collapsed="false">
      <c r="A140" s="9" t="s">
        <v>1220</v>
      </c>
      <c r="B140" s="9" t="s">
        <v>1221</v>
      </c>
      <c r="C140" s="10" t="n">
        <v>5</v>
      </c>
      <c r="D140" s="11" t="n">
        <v>4.71</v>
      </c>
      <c r="E140" s="12" t="n">
        <f aca="false">D140*6</f>
        <v>28.26</v>
      </c>
      <c r="F140" s="12" t="n">
        <f aca="false">D140*12</f>
        <v>56.52</v>
      </c>
      <c r="G140" s="11" t="n">
        <v>6</v>
      </c>
      <c r="H140" s="13" t="n">
        <v>0.25</v>
      </c>
    </row>
    <row r="141" customFormat="false" ht="15" hidden="false" customHeight="false" outlineLevel="0" collapsed="false">
      <c r="A141" s="4" t="s">
        <v>1222</v>
      </c>
      <c r="B141" s="4" t="s">
        <v>1223</v>
      </c>
      <c r="C141" s="5" t="n">
        <v>6</v>
      </c>
      <c r="D141" s="6" t="n">
        <v>5.65</v>
      </c>
      <c r="E141" s="7" t="n">
        <f aca="false">D141*6</f>
        <v>33.9</v>
      </c>
      <c r="F141" s="7" t="n">
        <f aca="false">D141*12</f>
        <v>67.8</v>
      </c>
      <c r="G141" s="6" t="n">
        <v>7.2</v>
      </c>
      <c r="H141" s="8" t="n">
        <v>0.252</v>
      </c>
    </row>
    <row r="142" customFormat="false" ht="15" hidden="false" customHeight="false" outlineLevel="0" collapsed="false">
      <c r="A142" s="9" t="s">
        <v>1224</v>
      </c>
      <c r="B142" s="9" t="s">
        <v>1225</v>
      </c>
      <c r="C142" s="10" t="n">
        <v>8</v>
      </c>
      <c r="D142" s="11" t="n">
        <v>7.54</v>
      </c>
      <c r="E142" s="12" t="n">
        <f aca="false">D142*6</f>
        <v>45.24</v>
      </c>
      <c r="F142" s="12" t="n">
        <f aca="false">D142*12</f>
        <v>90.48</v>
      </c>
      <c r="G142" s="11" t="n">
        <v>9.6</v>
      </c>
      <c r="H142" s="13" t="n">
        <v>0.256</v>
      </c>
    </row>
    <row r="143" customFormat="false" ht="15" hidden="false" customHeight="false" outlineLevel="0" collapsed="false">
      <c r="A143" s="4" t="s">
        <v>1226</v>
      </c>
      <c r="B143" s="4" t="s">
        <v>1227</v>
      </c>
      <c r="C143" s="5" t="n">
        <v>10</v>
      </c>
      <c r="D143" s="6" t="n">
        <v>9.42</v>
      </c>
      <c r="E143" s="7" t="n">
        <f aca="false">D143*6</f>
        <v>56.52</v>
      </c>
      <c r="F143" s="7" t="n">
        <f aca="false">D143*12</f>
        <v>113.04</v>
      </c>
      <c r="G143" s="6" t="n">
        <v>12</v>
      </c>
      <c r="H143" s="8" t="n">
        <v>0.26</v>
      </c>
    </row>
    <row r="144" customFormat="false" ht="15" hidden="false" customHeight="false" outlineLevel="0" collapsed="false">
      <c r="A144" s="9" t="s">
        <v>1228</v>
      </c>
      <c r="B144" s="9" t="s">
        <v>1229</v>
      </c>
      <c r="C144" s="10" t="n">
        <v>12</v>
      </c>
      <c r="D144" s="11" t="n">
        <v>11.3</v>
      </c>
      <c r="E144" s="12" t="n">
        <f aca="false">D144*6</f>
        <v>67.8</v>
      </c>
      <c r="F144" s="12" t="n">
        <f aca="false">D144*12</f>
        <v>135.6</v>
      </c>
      <c r="G144" s="11" t="n">
        <v>14.4</v>
      </c>
      <c r="H144" s="13" t="n">
        <v>0.264</v>
      </c>
    </row>
    <row r="145" customFormat="false" ht="15" hidden="false" customHeight="false" outlineLevel="0" collapsed="false">
      <c r="A145" s="4" t="s">
        <v>1230</v>
      </c>
      <c r="B145" s="4" t="s">
        <v>1231</v>
      </c>
      <c r="C145" s="5" t="n">
        <v>15</v>
      </c>
      <c r="D145" s="6" t="n">
        <v>14.13</v>
      </c>
      <c r="E145" s="7" t="n">
        <f aca="false">D145*6</f>
        <v>84.78</v>
      </c>
      <c r="F145" s="7" t="n">
        <f aca="false">D145*12</f>
        <v>169.56</v>
      </c>
      <c r="G145" s="6" t="n">
        <v>18</v>
      </c>
      <c r="H145" s="8" t="n">
        <v>0.27</v>
      </c>
    </row>
    <row r="146" customFormat="false" ht="15" hidden="false" customHeight="false" outlineLevel="0" collapsed="false">
      <c r="A146" s="9" t="s">
        <v>1232</v>
      </c>
      <c r="B146" s="9" t="s">
        <v>1233</v>
      </c>
      <c r="C146" s="10" t="n">
        <v>20</v>
      </c>
      <c r="D146" s="11" t="n">
        <v>18.84</v>
      </c>
      <c r="E146" s="12" t="n">
        <f aca="false">D146*6</f>
        <v>113.04</v>
      </c>
      <c r="F146" s="12" t="n">
        <f aca="false">D146*12</f>
        <v>226.08</v>
      </c>
      <c r="G146" s="11" t="n">
        <v>24</v>
      </c>
      <c r="H146" s="13" t="n">
        <v>0.28</v>
      </c>
    </row>
    <row r="147" customFormat="false" ht="15" hidden="false" customHeight="false" outlineLevel="0" collapsed="false">
      <c r="A147" s="4" t="s">
        <v>1234</v>
      </c>
      <c r="B147" s="4" t="s">
        <v>1235</v>
      </c>
      <c r="C147" s="5" t="n">
        <v>25</v>
      </c>
      <c r="D147" s="6" t="n">
        <v>23.55</v>
      </c>
      <c r="E147" s="7" t="n">
        <f aca="false">D147*6</f>
        <v>141.3</v>
      </c>
      <c r="F147" s="7" t="n">
        <f aca="false">D147*12</f>
        <v>282.6</v>
      </c>
      <c r="G147" s="6" t="n">
        <v>30</v>
      </c>
      <c r="H147" s="8" t="n">
        <v>0.29</v>
      </c>
    </row>
    <row r="148" customFormat="false" ht="15" hidden="false" customHeight="false" outlineLevel="0" collapsed="false">
      <c r="A148" s="9" t="s">
        <v>1236</v>
      </c>
      <c r="B148" s="9" t="s">
        <v>1237</v>
      </c>
      <c r="C148" s="10" t="n">
        <v>30</v>
      </c>
      <c r="D148" s="11" t="n">
        <v>28.26</v>
      </c>
      <c r="E148" s="12" t="n">
        <f aca="false">D148*6</f>
        <v>169.56</v>
      </c>
      <c r="F148" s="12" t="n">
        <f aca="false">D148*12</f>
        <v>339.12</v>
      </c>
      <c r="G148" s="11" t="n">
        <v>36</v>
      </c>
      <c r="H148" s="13" t="n">
        <v>0.3</v>
      </c>
    </row>
    <row r="149" customFormat="false" ht="15" hidden="false" customHeight="false" outlineLevel="0" collapsed="false">
      <c r="A149" s="4" t="s">
        <v>1238</v>
      </c>
      <c r="B149" s="4" t="s">
        <v>1239</v>
      </c>
      <c r="C149" s="5" t="n">
        <v>5</v>
      </c>
      <c r="D149" s="6" t="n">
        <v>5.1</v>
      </c>
      <c r="E149" s="7" t="n">
        <f aca="false">D149*6</f>
        <v>30.6</v>
      </c>
      <c r="F149" s="7" t="n">
        <f aca="false">D149*12</f>
        <v>61.2</v>
      </c>
      <c r="G149" s="6" t="n">
        <v>6.5</v>
      </c>
      <c r="H149" s="8" t="n">
        <v>0.27</v>
      </c>
    </row>
    <row r="150" customFormat="false" ht="15" hidden="false" customHeight="false" outlineLevel="0" collapsed="false">
      <c r="A150" s="9" t="s">
        <v>1240</v>
      </c>
      <c r="B150" s="9" t="s">
        <v>1241</v>
      </c>
      <c r="C150" s="10" t="n">
        <v>6</v>
      </c>
      <c r="D150" s="11" t="n">
        <v>6.12</v>
      </c>
      <c r="E150" s="12" t="n">
        <f aca="false">D150*6</f>
        <v>36.72</v>
      </c>
      <c r="F150" s="12" t="n">
        <f aca="false">D150*12</f>
        <v>73.44</v>
      </c>
      <c r="G150" s="11" t="n">
        <v>7.8</v>
      </c>
      <c r="H150" s="13" t="n">
        <v>0.272</v>
      </c>
    </row>
    <row r="151" customFormat="false" ht="15" hidden="false" customHeight="false" outlineLevel="0" collapsed="false">
      <c r="A151" s="4" t="s">
        <v>1242</v>
      </c>
      <c r="B151" s="4" t="s">
        <v>1243</v>
      </c>
      <c r="C151" s="5" t="n">
        <v>8</v>
      </c>
      <c r="D151" s="6" t="n">
        <v>8.16</v>
      </c>
      <c r="E151" s="7" t="n">
        <f aca="false">D151*6</f>
        <v>48.96</v>
      </c>
      <c r="F151" s="7" t="n">
        <f aca="false">D151*12</f>
        <v>97.92</v>
      </c>
      <c r="G151" s="6" t="n">
        <v>10.4</v>
      </c>
      <c r="H151" s="8" t="n">
        <v>0.276</v>
      </c>
    </row>
    <row r="152" customFormat="false" ht="15" hidden="false" customHeight="false" outlineLevel="0" collapsed="false">
      <c r="A152" s="9" t="s">
        <v>1244</v>
      </c>
      <c r="B152" s="9" t="s">
        <v>1245</v>
      </c>
      <c r="C152" s="10" t="n">
        <v>10</v>
      </c>
      <c r="D152" s="11" t="n">
        <v>10.2</v>
      </c>
      <c r="E152" s="12" t="n">
        <f aca="false">D152*6</f>
        <v>61.2</v>
      </c>
      <c r="F152" s="12" t="n">
        <f aca="false">D152*12</f>
        <v>122.4</v>
      </c>
      <c r="G152" s="11" t="n">
        <v>13</v>
      </c>
      <c r="H152" s="13" t="n">
        <v>0.28</v>
      </c>
    </row>
    <row r="153" customFormat="false" ht="15" hidden="false" customHeight="false" outlineLevel="0" collapsed="false">
      <c r="A153" s="4" t="s">
        <v>1246</v>
      </c>
      <c r="B153" s="4" t="s">
        <v>1247</v>
      </c>
      <c r="C153" s="5" t="n">
        <v>12</v>
      </c>
      <c r="D153" s="6" t="n">
        <v>12.25</v>
      </c>
      <c r="E153" s="7" t="n">
        <f aca="false">D153*6</f>
        <v>73.5</v>
      </c>
      <c r="F153" s="7" t="n">
        <f aca="false">D153*12</f>
        <v>147</v>
      </c>
      <c r="G153" s="6" t="n">
        <v>15.6</v>
      </c>
      <c r="H153" s="8" t="n">
        <v>0.284</v>
      </c>
    </row>
    <row r="154" customFormat="false" ht="15" hidden="false" customHeight="false" outlineLevel="0" collapsed="false">
      <c r="A154" s="9" t="s">
        <v>1248</v>
      </c>
      <c r="B154" s="9" t="s">
        <v>1249</v>
      </c>
      <c r="C154" s="10" t="n">
        <v>15</v>
      </c>
      <c r="D154" s="11" t="n">
        <v>15.31</v>
      </c>
      <c r="E154" s="12" t="n">
        <f aca="false">D154*6</f>
        <v>91.86</v>
      </c>
      <c r="F154" s="12" t="n">
        <f aca="false">D154*12</f>
        <v>183.72</v>
      </c>
      <c r="G154" s="11" t="n">
        <v>19.5</v>
      </c>
      <c r="H154" s="13" t="n">
        <v>0.29</v>
      </c>
    </row>
    <row r="155" customFormat="false" ht="15" hidden="false" customHeight="false" outlineLevel="0" collapsed="false">
      <c r="A155" s="4" t="s">
        <v>1250</v>
      </c>
      <c r="B155" s="4" t="s">
        <v>1251</v>
      </c>
      <c r="C155" s="5" t="n">
        <v>20</v>
      </c>
      <c r="D155" s="6" t="n">
        <v>20.41</v>
      </c>
      <c r="E155" s="7" t="n">
        <f aca="false">D155*6</f>
        <v>122.46</v>
      </c>
      <c r="F155" s="7" t="n">
        <f aca="false">D155*12</f>
        <v>244.92</v>
      </c>
      <c r="G155" s="6" t="n">
        <v>26</v>
      </c>
      <c r="H155" s="8" t="n">
        <v>0.3</v>
      </c>
    </row>
    <row r="156" customFormat="false" ht="15" hidden="false" customHeight="false" outlineLevel="0" collapsed="false">
      <c r="A156" s="9" t="s">
        <v>1252</v>
      </c>
      <c r="B156" s="9" t="s">
        <v>1253</v>
      </c>
      <c r="C156" s="10" t="n">
        <v>25</v>
      </c>
      <c r="D156" s="11" t="n">
        <v>25.51</v>
      </c>
      <c r="E156" s="12" t="n">
        <f aca="false">D156*6</f>
        <v>153.06</v>
      </c>
      <c r="F156" s="12" t="n">
        <f aca="false">D156*12</f>
        <v>306.12</v>
      </c>
      <c r="G156" s="11" t="n">
        <v>32.5</v>
      </c>
      <c r="H156" s="13" t="n">
        <v>0.31</v>
      </c>
    </row>
    <row r="157" customFormat="false" ht="15" hidden="false" customHeight="false" outlineLevel="0" collapsed="false">
      <c r="A157" s="4" t="s">
        <v>1254</v>
      </c>
      <c r="B157" s="4" t="s">
        <v>1255</v>
      </c>
      <c r="C157" s="5" t="n">
        <v>30</v>
      </c>
      <c r="D157" s="6" t="n">
        <v>30.61</v>
      </c>
      <c r="E157" s="7" t="n">
        <f aca="false">D157*6</f>
        <v>183.66</v>
      </c>
      <c r="F157" s="7" t="n">
        <f aca="false">D157*12</f>
        <v>367.32</v>
      </c>
      <c r="G157" s="6" t="n">
        <v>39</v>
      </c>
      <c r="H157" s="8" t="n">
        <v>0.32</v>
      </c>
    </row>
    <row r="158" customFormat="false" ht="15" hidden="false" customHeight="false" outlineLevel="0" collapsed="false">
      <c r="A158" s="9" t="s">
        <v>1256</v>
      </c>
      <c r="B158" s="9" t="s">
        <v>1257</v>
      </c>
      <c r="C158" s="10" t="n">
        <v>5</v>
      </c>
      <c r="D158" s="11" t="n">
        <v>5.49</v>
      </c>
      <c r="E158" s="12" t="n">
        <f aca="false">D158*6</f>
        <v>32.94</v>
      </c>
      <c r="F158" s="12" t="n">
        <f aca="false">D158*12</f>
        <v>65.88</v>
      </c>
      <c r="G158" s="11" t="n">
        <v>7</v>
      </c>
      <c r="H158" s="13" t="n">
        <v>0.29</v>
      </c>
    </row>
    <row r="159" customFormat="false" ht="15" hidden="false" customHeight="false" outlineLevel="0" collapsed="false">
      <c r="A159" s="4" t="s">
        <v>1258</v>
      </c>
      <c r="B159" s="4" t="s">
        <v>1259</v>
      </c>
      <c r="C159" s="5" t="n">
        <v>6</v>
      </c>
      <c r="D159" s="6" t="n">
        <v>6.59</v>
      </c>
      <c r="E159" s="7" t="n">
        <f aca="false">D159*6</f>
        <v>39.54</v>
      </c>
      <c r="F159" s="7" t="n">
        <f aca="false">D159*12</f>
        <v>79.08</v>
      </c>
      <c r="G159" s="6" t="n">
        <v>8.4</v>
      </c>
      <c r="H159" s="8" t="n">
        <v>0.292</v>
      </c>
    </row>
    <row r="160" customFormat="false" ht="15" hidden="false" customHeight="false" outlineLevel="0" collapsed="false">
      <c r="A160" s="9" t="s">
        <v>1260</v>
      </c>
      <c r="B160" s="9" t="s">
        <v>1261</v>
      </c>
      <c r="C160" s="10" t="n">
        <v>8</v>
      </c>
      <c r="D160" s="11" t="n">
        <v>8.79</v>
      </c>
      <c r="E160" s="12" t="n">
        <f aca="false">D160*6</f>
        <v>52.74</v>
      </c>
      <c r="F160" s="12" t="n">
        <f aca="false">D160*12</f>
        <v>105.48</v>
      </c>
      <c r="G160" s="11" t="n">
        <v>11.2</v>
      </c>
      <c r="H160" s="13" t="n">
        <v>0.296</v>
      </c>
    </row>
    <row r="161" customFormat="false" ht="15" hidden="false" customHeight="false" outlineLevel="0" collapsed="false">
      <c r="A161" s="4" t="s">
        <v>1262</v>
      </c>
      <c r="B161" s="4" t="s">
        <v>1263</v>
      </c>
      <c r="C161" s="5" t="n">
        <v>10</v>
      </c>
      <c r="D161" s="6" t="n">
        <v>10.99</v>
      </c>
      <c r="E161" s="7" t="n">
        <f aca="false">D161*6</f>
        <v>65.94</v>
      </c>
      <c r="F161" s="7" t="n">
        <f aca="false">D161*12</f>
        <v>131.88</v>
      </c>
      <c r="G161" s="6" t="n">
        <v>14</v>
      </c>
      <c r="H161" s="8" t="n">
        <v>0.3</v>
      </c>
    </row>
    <row r="162" customFormat="false" ht="15" hidden="false" customHeight="false" outlineLevel="0" collapsed="false">
      <c r="A162" s="9" t="s">
        <v>1264</v>
      </c>
      <c r="B162" s="9" t="s">
        <v>1265</v>
      </c>
      <c r="C162" s="10" t="n">
        <v>12</v>
      </c>
      <c r="D162" s="11" t="n">
        <v>13.19</v>
      </c>
      <c r="E162" s="12" t="n">
        <f aca="false">D162*6</f>
        <v>79.14</v>
      </c>
      <c r="F162" s="12" t="n">
        <f aca="false">D162*12</f>
        <v>158.28</v>
      </c>
      <c r="G162" s="11" t="n">
        <v>16.8</v>
      </c>
      <c r="H162" s="13" t="n">
        <v>0.304</v>
      </c>
    </row>
    <row r="163" customFormat="false" ht="15" hidden="false" customHeight="false" outlineLevel="0" collapsed="false">
      <c r="A163" s="4" t="s">
        <v>1266</v>
      </c>
      <c r="B163" s="4" t="s">
        <v>1267</v>
      </c>
      <c r="C163" s="5" t="n">
        <v>15</v>
      </c>
      <c r="D163" s="6" t="n">
        <v>16.48</v>
      </c>
      <c r="E163" s="7" t="n">
        <f aca="false">D163*6</f>
        <v>98.88</v>
      </c>
      <c r="F163" s="7" t="n">
        <f aca="false">D163*12</f>
        <v>197.76</v>
      </c>
      <c r="G163" s="6" t="n">
        <v>21</v>
      </c>
      <c r="H163" s="8" t="n">
        <v>0.31</v>
      </c>
    </row>
    <row r="164" customFormat="false" ht="15" hidden="false" customHeight="false" outlineLevel="0" collapsed="false">
      <c r="A164" s="9" t="s">
        <v>1268</v>
      </c>
      <c r="B164" s="9" t="s">
        <v>1269</v>
      </c>
      <c r="C164" s="10" t="n">
        <v>20</v>
      </c>
      <c r="D164" s="11" t="n">
        <v>21.98</v>
      </c>
      <c r="E164" s="12" t="n">
        <f aca="false">D164*6</f>
        <v>131.88</v>
      </c>
      <c r="F164" s="12" t="n">
        <f aca="false">D164*12</f>
        <v>263.76</v>
      </c>
      <c r="G164" s="11" t="n">
        <v>28</v>
      </c>
      <c r="H164" s="13" t="n">
        <v>0.32</v>
      </c>
    </row>
    <row r="165" customFormat="false" ht="15" hidden="false" customHeight="false" outlineLevel="0" collapsed="false">
      <c r="A165" s="4" t="s">
        <v>1270</v>
      </c>
      <c r="B165" s="4" t="s">
        <v>1271</v>
      </c>
      <c r="C165" s="5" t="n">
        <v>25</v>
      </c>
      <c r="D165" s="6" t="n">
        <v>27.47</v>
      </c>
      <c r="E165" s="7" t="n">
        <f aca="false">D165*6</f>
        <v>164.82</v>
      </c>
      <c r="F165" s="7" t="n">
        <f aca="false">D165*12</f>
        <v>329.64</v>
      </c>
      <c r="G165" s="6" t="n">
        <v>35</v>
      </c>
      <c r="H165" s="8" t="n">
        <v>0.33</v>
      </c>
    </row>
    <row r="166" customFormat="false" ht="15" hidden="false" customHeight="false" outlineLevel="0" collapsed="false">
      <c r="A166" s="9" t="s">
        <v>1272</v>
      </c>
      <c r="B166" s="9" t="s">
        <v>1273</v>
      </c>
      <c r="C166" s="10" t="n">
        <v>30</v>
      </c>
      <c r="D166" s="11" t="n">
        <v>32.97</v>
      </c>
      <c r="E166" s="12" t="n">
        <f aca="false">D166*6</f>
        <v>197.82</v>
      </c>
      <c r="F166" s="12" t="n">
        <f aca="false">D166*12</f>
        <v>395.64</v>
      </c>
      <c r="G166" s="11" t="n">
        <v>42</v>
      </c>
      <c r="H166" s="13" t="n">
        <v>0.34</v>
      </c>
    </row>
    <row r="167" customFormat="false" ht="15" hidden="false" customHeight="false" outlineLevel="0" collapsed="false">
      <c r="A167" s="4" t="s">
        <v>1274</v>
      </c>
      <c r="B167" s="4" t="s">
        <v>1275</v>
      </c>
      <c r="C167" s="5" t="n">
        <v>5</v>
      </c>
      <c r="D167" s="6" t="n">
        <v>5.89</v>
      </c>
      <c r="E167" s="7" t="n">
        <f aca="false">D167*6</f>
        <v>35.34</v>
      </c>
      <c r="F167" s="7" t="n">
        <f aca="false">D167*12</f>
        <v>70.68</v>
      </c>
      <c r="G167" s="6" t="n">
        <v>7.5</v>
      </c>
      <c r="H167" s="8" t="n">
        <v>0.31</v>
      </c>
    </row>
    <row r="168" customFormat="false" ht="15" hidden="false" customHeight="false" outlineLevel="0" collapsed="false">
      <c r="A168" s="9" t="s">
        <v>1276</v>
      </c>
      <c r="B168" s="9" t="s">
        <v>1277</v>
      </c>
      <c r="C168" s="10" t="n">
        <v>6</v>
      </c>
      <c r="D168" s="11" t="n">
        <v>7.06</v>
      </c>
      <c r="E168" s="12" t="n">
        <f aca="false">D168*6</f>
        <v>42.36</v>
      </c>
      <c r="F168" s="12" t="n">
        <f aca="false">D168*12</f>
        <v>84.72</v>
      </c>
      <c r="G168" s="11" t="n">
        <v>9</v>
      </c>
      <c r="H168" s="13" t="n">
        <v>0.312</v>
      </c>
    </row>
    <row r="169" customFormat="false" ht="15" hidden="false" customHeight="false" outlineLevel="0" collapsed="false">
      <c r="A169" s="4" t="s">
        <v>1278</v>
      </c>
      <c r="B169" s="4" t="s">
        <v>1279</v>
      </c>
      <c r="C169" s="5" t="n">
        <v>8</v>
      </c>
      <c r="D169" s="6" t="n">
        <v>9.42</v>
      </c>
      <c r="E169" s="7" t="n">
        <f aca="false">D169*6</f>
        <v>56.52</v>
      </c>
      <c r="F169" s="7" t="n">
        <f aca="false">D169*12</f>
        <v>113.04</v>
      </c>
      <c r="G169" s="6" t="n">
        <v>12</v>
      </c>
      <c r="H169" s="8" t="n">
        <v>0.316</v>
      </c>
    </row>
    <row r="170" customFormat="false" ht="15" hidden="false" customHeight="false" outlineLevel="0" collapsed="false">
      <c r="A170" s="9" t="s">
        <v>1280</v>
      </c>
      <c r="B170" s="9" t="s">
        <v>1281</v>
      </c>
      <c r="C170" s="10" t="n">
        <v>10</v>
      </c>
      <c r="D170" s="11" t="n">
        <v>11.77</v>
      </c>
      <c r="E170" s="12" t="n">
        <f aca="false">D170*6</f>
        <v>70.62</v>
      </c>
      <c r="F170" s="12" t="n">
        <f aca="false">D170*12</f>
        <v>141.24</v>
      </c>
      <c r="G170" s="11" t="n">
        <v>15</v>
      </c>
      <c r="H170" s="13" t="n">
        <v>0.32</v>
      </c>
    </row>
    <row r="171" customFormat="false" ht="15" hidden="false" customHeight="false" outlineLevel="0" collapsed="false">
      <c r="A171" s="4" t="s">
        <v>1282</v>
      </c>
      <c r="B171" s="4" t="s">
        <v>1283</v>
      </c>
      <c r="C171" s="5" t="n">
        <v>12</v>
      </c>
      <c r="D171" s="6" t="n">
        <v>14.13</v>
      </c>
      <c r="E171" s="7" t="n">
        <f aca="false">D171*6</f>
        <v>84.78</v>
      </c>
      <c r="F171" s="7" t="n">
        <f aca="false">D171*12</f>
        <v>169.56</v>
      </c>
      <c r="G171" s="6" t="n">
        <v>18</v>
      </c>
      <c r="H171" s="8" t="n">
        <v>0.324</v>
      </c>
    </row>
    <row r="172" customFormat="false" ht="15" hidden="false" customHeight="false" outlineLevel="0" collapsed="false">
      <c r="A172" s="9" t="s">
        <v>1284</v>
      </c>
      <c r="B172" s="9" t="s">
        <v>1285</v>
      </c>
      <c r="C172" s="10" t="n">
        <v>15</v>
      </c>
      <c r="D172" s="11" t="n">
        <v>17.66</v>
      </c>
      <c r="E172" s="12" t="n">
        <f aca="false">D172*6</f>
        <v>105.96</v>
      </c>
      <c r="F172" s="12" t="n">
        <f aca="false">D172*12</f>
        <v>211.92</v>
      </c>
      <c r="G172" s="11" t="n">
        <v>22.5</v>
      </c>
      <c r="H172" s="13" t="n">
        <v>0.33</v>
      </c>
    </row>
    <row r="173" customFormat="false" ht="15" hidden="false" customHeight="false" outlineLevel="0" collapsed="false">
      <c r="A173" s="4" t="s">
        <v>1286</v>
      </c>
      <c r="B173" s="4" t="s">
        <v>1287</v>
      </c>
      <c r="C173" s="5" t="n">
        <v>20</v>
      </c>
      <c r="D173" s="6" t="n">
        <v>23.55</v>
      </c>
      <c r="E173" s="7" t="n">
        <f aca="false">D173*6</f>
        <v>141.3</v>
      </c>
      <c r="F173" s="7" t="n">
        <f aca="false">D173*12</f>
        <v>282.6</v>
      </c>
      <c r="G173" s="6" t="n">
        <v>30</v>
      </c>
      <c r="H173" s="8" t="n">
        <v>0.34</v>
      </c>
    </row>
    <row r="174" customFormat="false" ht="15" hidden="false" customHeight="false" outlineLevel="0" collapsed="false">
      <c r="A174" s="9" t="s">
        <v>1288</v>
      </c>
      <c r="B174" s="9" t="s">
        <v>1289</v>
      </c>
      <c r="C174" s="10" t="n">
        <v>25</v>
      </c>
      <c r="D174" s="11" t="n">
        <v>29.44</v>
      </c>
      <c r="E174" s="12" t="n">
        <f aca="false">D174*6</f>
        <v>176.64</v>
      </c>
      <c r="F174" s="12" t="n">
        <f aca="false">D174*12</f>
        <v>353.28</v>
      </c>
      <c r="G174" s="11" t="n">
        <v>37.5</v>
      </c>
      <c r="H174" s="13" t="n">
        <v>0.35</v>
      </c>
    </row>
    <row r="175" customFormat="false" ht="15" hidden="false" customHeight="false" outlineLevel="0" collapsed="false">
      <c r="A175" s="4" t="s">
        <v>1290</v>
      </c>
      <c r="B175" s="4" t="s">
        <v>1291</v>
      </c>
      <c r="C175" s="5" t="n">
        <v>30</v>
      </c>
      <c r="D175" s="6" t="n">
        <v>35.32</v>
      </c>
      <c r="E175" s="7" t="n">
        <f aca="false">D175*6</f>
        <v>211.92</v>
      </c>
      <c r="F175" s="7" t="n">
        <f aca="false">D175*12</f>
        <v>423.84</v>
      </c>
      <c r="G175" s="6" t="n">
        <v>45</v>
      </c>
      <c r="H175" s="8" t="n">
        <v>0.36</v>
      </c>
    </row>
    <row r="176" customFormat="false" ht="15" hidden="false" customHeight="false" outlineLevel="0" collapsed="false">
      <c r="A176" s="9" t="s">
        <v>1292</v>
      </c>
      <c r="B176" s="9" t="s">
        <v>1293</v>
      </c>
      <c r="C176" s="10" t="n">
        <v>5</v>
      </c>
      <c r="D176" s="11" t="n">
        <v>6.28</v>
      </c>
      <c r="E176" s="12" t="n">
        <f aca="false">D176*6</f>
        <v>37.68</v>
      </c>
      <c r="F176" s="12" t="n">
        <f aca="false">D176*12</f>
        <v>75.36</v>
      </c>
      <c r="G176" s="11" t="n">
        <v>8</v>
      </c>
      <c r="H176" s="13" t="n">
        <v>0.33</v>
      </c>
    </row>
    <row r="177" customFormat="false" ht="15" hidden="false" customHeight="false" outlineLevel="0" collapsed="false">
      <c r="A177" s="4" t="s">
        <v>1294</v>
      </c>
      <c r="B177" s="4" t="s">
        <v>1295</v>
      </c>
      <c r="C177" s="5" t="n">
        <v>6</v>
      </c>
      <c r="D177" s="6" t="n">
        <v>7.54</v>
      </c>
      <c r="E177" s="7" t="n">
        <f aca="false">D177*6</f>
        <v>45.24</v>
      </c>
      <c r="F177" s="7" t="n">
        <f aca="false">D177*12</f>
        <v>90.48</v>
      </c>
      <c r="G177" s="6" t="n">
        <v>9.6</v>
      </c>
      <c r="H177" s="8" t="n">
        <v>0.332</v>
      </c>
    </row>
    <row r="178" customFormat="false" ht="15" hidden="false" customHeight="false" outlineLevel="0" collapsed="false">
      <c r="A178" s="9" t="s">
        <v>1296</v>
      </c>
      <c r="B178" s="9" t="s">
        <v>1297</v>
      </c>
      <c r="C178" s="10" t="n">
        <v>8</v>
      </c>
      <c r="D178" s="11" t="n">
        <v>10.05</v>
      </c>
      <c r="E178" s="12" t="n">
        <f aca="false">D178*6</f>
        <v>60.3</v>
      </c>
      <c r="F178" s="12" t="n">
        <f aca="false">D178*12</f>
        <v>120.6</v>
      </c>
      <c r="G178" s="11" t="n">
        <v>12.8</v>
      </c>
      <c r="H178" s="13" t="n">
        <v>0.336</v>
      </c>
    </row>
    <row r="179" customFormat="false" ht="15" hidden="false" customHeight="false" outlineLevel="0" collapsed="false">
      <c r="A179" s="4" t="s">
        <v>1298</v>
      </c>
      <c r="B179" s="4" t="s">
        <v>1299</v>
      </c>
      <c r="C179" s="5" t="n">
        <v>10</v>
      </c>
      <c r="D179" s="6" t="n">
        <v>12.56</v>
      </c>
      <c r="E179" s="7" t="n">
        <f aca="false">D179*6</f>
        <v>75.36</v>
      </c>
      <c r="F179" s="7" t="n">
        <f aca="false">D179*12</f>
        <v>150.72</v>
      </c>
      <c r="G179" s="6" t="n">
        <v>16</v>
      </c>
      <c r="H179" s="8" t="n">
        <v>0.34</v>
      </c>
    </row>
    <row r="180" customFormat="false" ht="15" hidden="false" customHeight="false" outlineLevel="0" collapsed="false">
      <c r="A180" s="9" t="s">
        <v>1300</v>
      </c>
      <c r="B180" s="9" t="s">
        <v>1301</v>
      </c>
      <c r="C180" s="10" t="n">
        <v>12</v>
      </c>
      <c r="D180" s="11" t="n">
        <v>15.07</v>
      </c>
      <c r="E180" s="12" t="n">
        <f aca="false">D180*6</f>
        <v>90.42</v>
      </c>
      <c r="F180" s="12" t="n">
        <f aca="false">D180*12</f>
        <v>180.84</v>
      </c>
      <c r="G180" s="11" t="n">
        <v>19.2</v>
      </c>
      <c r="H180" s="13" t="n">
        <v>0.344</v>
      </c>
    </row>
    <row r="181" customFormat="false" ht="15" hidden="false" customHeight="false" outlineLevel="0" collapsed="false">
      <c r="A181" s="4" t="s">
        <v>1302</v>
      </c>
      <c r="B181" s="4" t="s">
        <v>1303</v>
      </c>
      <c r="C181" s="5" t="n">
        <v>15</v>
      </c>
      <c r="D181" s="6" t="n">
        <v>18.84</v>
      </c>
      <c r="E181" s="7" t="n">
        <f aca="false">D181*6</f>
        <v>113.04</v>
      </c>
      <c r="F181" s="7" t="n">
        <f aca="false">D181*12</f>
        <v>226.08</v>
      </c>
      <c r="G181" s="6" t="n">
        <v>24</v>
      </c>
      <c r="H181" s="8" t="n">
        <v>0.35</v>
      </c>
    </row>
    <row r="182" customFormat="false" ht="15" hidden="false" customHeight="false" outlineLevel="0" collapsed="false">
      <c r="A182" s="9" t="s">
        <v>1304</v>
      </c>
      <c r="B182" s="9" t="s">
        <v>1305</v>
      </c>
      <c r="C182" s="10" t="n">
        <v>20</v>
      </c>
      <c r="D182" s="11" t="n">
        <v>25.12</v>
      </c>
      <c r="E182" s="12" t="n">
        <f aca="false">D182*6</f>
        <v>150.72</v>
      </c>
      <c r="F182" s="12" t="n">
        <f aca="false">D182*12</f>
        <v>301.44</v>
      </c>
      <c r="G182" s="11" t="n">
        <v>32</v>
      </c>
      <c r="H182" s="13" t="n">
        <v>0.36</v>
      </c>
    </row>
    <row r="183" customFormat="false" ht="15" hidden="false" customHeight="false" outlineLevel="0" collapsed="false">
      <c r="A183" s="4" t="s">
        <v>1306</v>
      </c>
      <c r="B183" s="4" t="s">
        <v>1307</v>
      </c>
      <c r="C183" s="5" t="n">
        <v>25</v>
      </c>
      <c r="D183" s="6" t="n">
        <v>31.4</v>
      </c>
      <c r="E183" s="7" t="n">
        <f aca="false">D183*6</f>
        <v>188.4</v>
      </c>
      <c r="F183" s="7" t="n">
        <f aca="false">D183*12</f>
        <v>376.8</v>
      </c>
      <c r="G183" s="6" t="n">
        <v>40</v>
      </c>
      <c r="H183" s="8" t="n">
        <v>0.37</v>
      </c>
    </row>
    <row r="184" customFormat="false" ht="15" hidden="false" customHeight="false" outlineLevel="0" collapsed="false">
      <c r="A184" s="9" t="s">
        <v>1308</v>
      </c>
      <c r="B184" s="9" t="s">
        <v>1309</v>
      </c>
      <c r="C184" s="10" t="n">
        <v>30</v>
      </c>
      <c r="D184" s="11" t="n">
        <v>37.68</v>
      </c>
      <c r="E184" s="12" t="n">
        <f aca="false">D184*6</f>
        <v>226.08</v>
      </c>
      <c r="F184" s="12" t="n">
        <f aca="false">D184*12</f>
        <v>452.16</v>
      </c>
      <c r="G184" s="11" t="n">
        <v>48</v>
      </c>
      <c r="H184" s="13" t="n">
        <v>0.38</v>
      </c>
    </row>
    <row r="185" customFormat="false" ht="15" hidden="false" customHeight="false" outlineLevel="0" collapsed="false">
      <c r="A185" s="4" t="s">
        <v>1310</v>
      </c>
      <c r="B185" s="4" t="s">
        <v>1311</v>
      </c>
      <c r="C185" s="5" t="n">
        <v>5</v>
      </c>
      <c r="D185" s="6" t="n">
        <v>7.06</v>
      </c>
      <c r="E185" s="7" t="n">
        <f aca="false">D185*6</f>
        <v>42.36</v>
      </c>
      <c r="F185" s="7" t="n">
        <f aca="false">D185*12</f>
        <v>84.72</v>
      </c>
      <c r="G185" s="6" t="n">
        <v>9</v>
      </c>
      <c r="H185" s="8" t="n">
        <v>0.37</v>
      </c>
    </row>
    <row r="186" customFormat="false" ht="15" hidden="false" customHeight="false" outlineLevel="0" collapsed="false">
      <c r="A186" s="9" t="s">
        <v>1312</v>
      </c>
      <c r="B186" s="9" t="s">
        <v>1313</v>
      </c>
      <c r="C186" s="10" t="n">
        <v>6</v>
      </c>
      <c r="D186" s="11" t="n">
        <v>8.48</v>
      </c>
      <c r="E186" s="12" t="n">
        <f aca="false">D186*6</f>
        <v>50.88</v>
      </c>
      <c r="F186" s="12" t="n">
        <f aca="false">D186*12</f>
        <v>101.76</v>
      </c>
      <c r="G186" s="11" t="n">
        <v>10.8</v>
      </c>
      <c r="H186" s="13" t="n">
        <v>0.372</v>
      </c>
    </row>
    <row r="187" customFormat="false" ht="15" hidden="false" customHeight="false" outlineLevel="0" collapsed="false">
      <c r="A187" s="4" t="s">
        <v>1314</v>
      </c>
      <c r="B187" s="4" t="s">
        <v>1315</v>
      </c>
      <c r="C187" s="5" t="n">
        <v>8</v>
      </c>
      <c r="D187" s="6" t="n">
        <v>11.3</v>
      </c>
      <c r="E187" s="7" t="n">
        <f aca="false">D187*6</f>
        <v>67.8</v>
      </c>
      <c r="F187" s="7" t="n">
        <f aca="false">D187*12</f>
        <v>135.6</v>
      </c>
      <c r="G187" s="6" t="n">
        <v>14.4</v>
      </c>
      <c r="H187" s="8" t="n">
        <v>0.376</v>
      </c>
    </row>
    <row r="188" customFormat="false" ht="15" hidden="false" customHeight="false" outlineLevel="0" collapsed="false">
      <c r="A188" s="9" t="s">
        <v>1316</v>
      </c>
      <c r="B188" s="9" t="s">
        <v>1317</v>
      </c>
      <c r="C188" s="10" t="n">
        <v>10</v>
      </c>
      <c r="D188" s="11" t="n">
        <v>14.13</v>
      </c>
      <c r="E188" s="12" t="n">
        <f aca="false">D188*6</f>
        <v>84.78</v>
      </c>
      <c r="F188" s="12" t="n">
        <f aca="false">D188*12</f>
        <v>169.56</v>
      </c>
      <c r="G188" s="11" t="n">
        <v>18</v>
      </c>
      <c r="H188" s="13" t="n">
        <v>0.38</v>
      </c>
    </row>
    <row r="189" customFormat="false" ht="15" hidden="false" customHeight="false" outlineLevel="0" collapsed="false">
      <c r="A189" s="4" t="s">
        <v>1318</v>
      </c>
      <c r="B189" s="4" t="s">
        <v>1319</v>
      </c>
      <c r="C189" s="5" t="n">
        <v>12</v>
      </c>
      <c r="D189" s="6" t="n">
        <v>16.96</v>
      </c>
      <c r="E189" s="7" t="n">
        <f aca="false">D189*6</f>
        <v>101.76</v>
      </c>
      <c r="F189" s="7" t="n">
        <f aca="false">D189*12</f>
        <v>203.52</v>
      </c>
      <c r="G189" s="6" t="n">
        <v>21.6</v>
      </c>
      <c r="H189" s="8" t="n">
        <v>0.384</v>
      </c>
    </row>
    <row r="190" customFormat="false" ht="15" hidden="false" customHeight="false" outlineLevel="0" collapsed="false">
      <c r="A190" s="9" t="s">
        <v>1320</v>
      </c>
      <c r="B190" s="9" t="s">
        <v>1321</v>
      </c>
      <c r="C190" s="10" t="n">
        <v>15</v>
      </c>
      <c r="D190" s="11" t="n">
        <v>21.19</v>
      </c>
      <c r="E190" s="12" t="n">
        <f aca="false">D190*6</f>
        <v>127.14</v>
      </c>
      <c r="F190" s="12" t="n">
        <f aca="false">D190*12</f>
        <v>254.28</v>
      </c>
      <c r="G190" s="11" t="n">
        <v>27</v>
      </c>
      <c r="H190" s="13" t="n">
        <v>0.39</v>
      </c>
    </row>
    <row r="191" customFormat="false" ht="15" hidden="false" customHeight="false" outlineLevel="0" collapsed="false">
      <c r="A191" s="4" t="s">
        <v>1322</v>
      </c>
      <c r="B191" s="4" t="s">
        <v>1323</v>
      </c>
      <c r="C191" s="5" t="n">
        <v>20</v>
      </c>
      <c r="D191" s="6" t="n">
        <v>28.26</v>
      </c>
      <c r="E191" s="7" t="n">
        <f aca="false">D191*6</f>
        <v>169.56</v>
      </c>
      <c r="F191" s="7" t="n">
        <f aca="false">D191*12</f>
        <v>339.12</v>
      </c>
      <c r="G191" s="6" t="n">
        <v>36</v>
      </c>
      <c r="H191" s="8" t="n">
        <v>0.4</v>
      </c>
    </row>
    <row r="192" customFormat="false" ht="15" hidden="false" customHeight="false" outlineLevel="0" collapsed="false">
      <c r="A192" s="9" t="s">
        <v>1324</v>
      </c>
      <c r="B192" s="9" t="s">
        <v>1325</v>
      </c>
      <c r="C192" s="10" t="n">
        <v>25</v>
      </c>
      <c r="D192" s="11" t="n">
        <v>35.32</v>
      </c>
      <c r="E192" s="12" t="n">
        <f aca="false">D192*6</f>
        <v>211.92</v>
      </c>
      <c r="F192" s="12" t="n">
        <f aca="false">D192*12</f>
        <v>423.84</v>
      </c>
      <c r="G192" s="11" t="n">
        <v>45</v>
      </c>
      <c r="H192" s="13" t="n">
        <v>0.41</v>
      </c>
    </row>
    <row r="193" customFormat="false" ht="15" hidden="false" customHeight="false" outlineLevel="0" collapsed="false">
      <c r="A193" s="4" t="s">
        <v>1326</v>
      </c>
      <c r="B193" s="4" t="s">
        <v>1327</v>
      </c>
      <c r="C193" s="5" t="n">
        <v>30</v>
      </c>
      <c r="D193" s="6" t="n">
        <v>42.39</v>
      </c>
      <c r="E193" s="7" t="n">
        <f aca="false">D193*6</f>
        <v>254.34</v>
      </c>
      <c r="F193" s="7" t="n">
        <f aca="false">D193*12</f>
        <v>508.68</v>
      </c>
      <c r="G193" s="6" t="n">
        <v>54</v>
      </c>
      <c r="H193" s="8" t="n">
        <v>0.42</v>
      </c>
    </row>
    <row r="194" customFormat="false" ht="15" hidden="false" customHeight="false" outlineLevel="0" collapsed="false">
      <c r="A194" s="9" t="s">
        <v>1328</v>
      </c>
      <c r="B194" s="9" t="s">
        <v>1329</v>
      </c>
      <c r="C194" s="10" t="n">
        <v>5</v>
      </c>
      <c r="D194" s="11" t="n">
        <v>7.85</v>
      </c>
      <c r="E194" s="12" t="n">
        <f aca="false">D194*6</f>
        <v>47.1</v>
      </c>
      <c r="F194" s="12" t="n">
        <f aca="false">D194*12</f>
        <v>94.2</v>
      </c>
      <c r="G194" s="11" t="n">
        <v>10</v>
      </c>
      <c r="H194" s="13" t="n">
        <v>0.41</v>
      </c>
    </row>
    <row r="195" customFormat="false" ht="15" hidden="false" customHeight="false" outlineLevel="0" collapsed="false">
      <c r="A195" s="4" t="s">
        <v>1330</v>
      </c>
      <c r="B195" s="4" t="s">
        <v>1331</v>
      </c>
      <c r="C195" s="5" t="n">
        <v>6</v>
      </c>
      <c r="D195" s="6" t="n">
        <v>9.42</v>
      </c>
      <c r="E195" s="7" t="n">
        <f aca="false">D195*6</f>
        <v>56.52</v>
      </c>
      <c r="F195" s="7" t="n">
        <f aca="false">D195*12</f>
        <v>113.04</v>
      </c>
      <c r="G195" s="6" t="n">
        <v>12</v>
      </c>
      <c r="H195" s="8" t="n">
        <v>0.412</v>
      </c>
    </row>
    <row r="196" customFormat="false" ht="15" hidden="false" customHeight="false" outlineLevel="0" collapsed="false">
      <c r="A196" s="9" t="s">
        <v>1332</v>
      </c>
      <c r="B196" s="9" t="s">
        <v>1333</v>
      </c>
      <c r="C196" s="10" t="n">
        <v>8</v>
      </c>
      <c r="D196" s="11" t="n">
        <v>12.56</v>
      </c>
      <c r="E196" s="12" t="n">
        <f aca="false">D196*6</f>
        <v>75.36</v>
      </c>
      <c r="F196" s="12" t="n">
        <f aca="false">D196*12</f>
        <v>150.72</v>
      </c>
      <c r="G196" s="11" t="n">
        <v>16</v>
      </c>
      <c r="H196" s="13" t="n">
        <v>0.416</v>
      </c>
    </row>
    <row r="197" customFormat="false" ht="15" hidden="false" customHeight="false" outlineLevel="0" collapsed="false">
      <c r="A197" s="4" t="s">
        <v>1334</v>
      </c>
      <c r="B197" s="4" t="s">
        <v>1335</v>
      </c>
      <c r="C197" s="5" t="n">
        <v>10</v>
      </c>
      <c r="D197" s="6" t="n">
        <v>15.7</v>
      </c>
      <c r="E197" s="7" t="n">
        <f aca="false">D197*6</f>
        <v>94.2</v>
      </c>
      <c r="F197" s="7" t="n">
        <f aca="false">D197*12</f>
        <v>188.4</v>
      </c>
      <c r="G197" s="6" t="n">
        <v>20</v>
      </c>
      <c r="H197" s="8" t="n">
        <v>0.42</v>
      </c>
    </row>
    <row r="198" customFormat="false" ht="15" hidden="false" customHeight="false" outlineLevel="0" collapsed="false">
      <c r="A198" s="9" t="s">
        <v>1336</v>
      </c>
      <c r="B198" s="9" t="s">
        <v>1337</v>
      </c>
      <c r="C198" s="10" t="n">
        <v>12</v>
      </c>
      <c r="D198" s="11" t="n">
        <v>18.84</v>
      </c>
      <c r="E198" s="12" t="n">
        <f aca="false">D198*6</f>
        <v>113.04</v>
      </c>
      <c r="F198" s="12" t="n">
        <f aca="false">D198*12</f>
        <v>226.08</v>
      </c>
      <c r="G198" s="11" t="n">
        <v>24</v>
      </c>
      <c r="H198" s="13" t="n">
        <v>0.424</v>
      </c>
    </row>
    <row r="199" customFormat="false" ht="15" hidden="false" customHeight="false" outlineLevel="0" collapsed="false">
      <c r="A199" s="4" t="s">
        <v>1338</v>
      </c>
      <c r="B199" s="4" t="s">
        <v>1339</v>
      </c>
      <c r="C199" s="5" t="n">
        <v>15</v>
      </c>
      <c r="D199" s="6" t="n">
        <v>23.55</v>
      </c>
      <c r="E199" s="7" t="n">
        <f aca="false">D199*6</f>
        <v>141.3</v>
      </c>
      <c r="F199" s="7" t="n">
        <f aca="false">D199*12</f>
        <v>282.6</v>
      </c>
      <c r="G199" s="6" t="n">
        <v>30</v>
      </c>
      <c r="H199" s="8" t="n">
        <v>0.43</v>
      </c>
    </row>
    <row r="200" customFormat="false" ht="15" hidden="false" customHeight="false" outlineLevel="0" collapsed="false">
      <c r="A200" s="9" t="s">
        <v>1340</v>
      </c>
      <c r="B200" s="9" t="s">
        <v>1341</v>
      </c>
      <c r="C200" s="10" t="n">
        <v>20</v>
      </c>
      <c r="D200" s="11" t="n">
        <v>31.4</v>
      </c>
      <c r="E200" s="12" t="n">
        <f aca="false">D200*6</f>
        <v>188.4</v>
      </c>
      <c r="F200" s="12" t="n">
        <f aca="false">D200*12</f>
        <v>376.8</v>
      </c>
      <c r="G200" s="11" t="n">
        <v>40</v>
      </c>
      <c r="H200" s="13" t="n">
        <v>0.44</v>
      </c>
    </row>
    <row r="201" customFormat="false" ht="15" hidden="false" customHeight="false" outlineLevel="0" collapsed="false">
      <c r="A201" s="4" t="s">
        <v>1342</v>
      </c>
      <c r="B201" s="4" t="s">
        <v>1343</v>
      </c>
      <c r="C201" s="5" t="n">
        <v>25</v>
      </c>
      <c r="D201" s="6" t="n">
        <v>39.25</v>
      </c>
      <c r="E201" s="7" t="n">
        <f aca="false">D201*6</f>
        <v>235.5</v>
      </c>
      <c r="F201" s="7" t="n">
        <f aca="false">D201*12</f>
        <v>471</v>
      </c>
      <c r="G201" s="6" t="n">
        <v>50</v>
      </c>
      <c r="H201" s="8" t="n">
        <v>0.45</v>
      </c>
    </row>
    <row r="202" customFormat="false" ht="15" hidden="false" customHeight="false" outlineLevel="0" collapsed="false">
      <c r="A202" s="9" t="s">
        <v>1344</v>
      </c>
      <c r="B202" s="9" t="s">
        <v>1345</v>
      </c>
      <c r="C202" s="10" t="n">
        <v>30</v>
      </c>
      <c r="D202" s="11" t="n">
        <v>47.1</v>
      </c>
      <c r="E202" s="12" t="n">
        <f aca="false">D202*6</f>
        <v>282.6</v>
      </c>
      <c r="F202" s="12" t="n">
        <f aca="false">D202*12</f>
        <v>565.2</v>
      </c>
      <c r="G202" s="11" t="n">
        <v>60</v>
      </c>
      <c r="H202" s="13" t="n">
        <v>0.46</v>
      </c>
    </row>
  </sheetData>
  <autoFilter ref="A4:H2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10" min="6" style="0" width="22"/>
  </cols>
  <sheetData>
    <row r="1" customFormat="false" ht="17.35" hidden="false" customHeight="false" outlineLevel="0" collapsed="false">
      <c r="A1" s="1" t="s">
        <v>1346</v>
      </c>
    </row>
    <row r="2" customFormat="false" ht="15" hidden="false" customHeight="false" outlineLevel="0" collapsed="false">
      <c r="A2" s="2" t="s">
        <v>1347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813</v>
      </c>
      <c r="E4" s="3" t="s">
        <v>1348</v>
      </c>
      <c r="F4" s="3" t="s">
        <v>1349</v>
      </c>
      <c r="G4" s="3" t="s">
        <v>1350</v>
      </c>
      <c r="H4" s="3" t="s">
        <v>1351</v>
      </c>
      <c r="I4" s="3" t="s">
        <v>1352</v>
      </c>
      <c r="J4" s="3" t="s">
        <v>1353</v>
      </c>
    </row>
    <row r="5" customFormat="false" ht="15" hidden="false" customHeight="false" outlineLevel="0" collapsed="false">
      <c r="A5" s="4" t="s">
        <v>1354</v>
      </c>
      <c r="B5" s="4" t="s">
        <v>1355</v>
      </c>
      <c r="C5" s="4" t="s">
        <v>1356</v>
      </c>
      <c r="D5" s="5" t="n">
        <v>0.4</v>
      </c>
      <c r="E5" s="6" t="n">
        <v>3.14</v>
      </c>
      <c r="F5" s="7" t="n">
        <f aca="false">E5*2</f>
        <v>6.28</v>
      </c>
      <c r="G5" s="7" t="n">
        <f aca="false">E5*3.125</f>
        <v>9.8125</v>
      </c>
      <c r="H5" s="7" t="n">
        <f aca="false">E5*4.5</f>
        <v>14.13</v>
      </c>
      <c r="I5" s="7" t="n">
        <f aca="false">E5*9</f>
        <v>28.26</v>
      </c>
      <c r="J5" s="7" t="n">
        <f aca="false">E5*12</f>
        <v>37.68</v>
      </c>
    </row>
    <row r="6" customFormat="false" ht="15" hidden="false" customHeight="false" outlineLevel="0" collapsed="false">
      <c r="A6" s="9" t="s">
        <v>1357</v>
      </c>
      <c r="B6" s="9" t="s">
        <v>1355</v>
      </c>
      <c r="C6" s="9" t="s">
        <v>1358</v>
      </c>
      <c r="D6" s="10" t="n">
        <v>0.5</v>
      </c>
      <c r="E6" s="11" t="n">
        <v>3.92</v>
      </c>
      <c r="F6" s="12" t="n">
        <f aca="false">E6*2</f>
        <v>7.84</v>
      </c>
      <c r="G6" s="12" t="n">
        <f aca="false">E6*3.125</f>
        <v>12.25</v>
      </c>
      <c r="H6" s="12" t="n">
        <f aca="false">E6*4.5</f>
        <v>17.64</v>
      </c>
      <c r="I6" s="12" t="n">
        <f aca="false">E6*9</f>
        <v>35.28</v>
      </c>
      <c r="J6" s="12" t="n">
        <f aca="false">E6*12</f>
        <v>47.04</v>
      </c>
    </row>
    <row r="7" customFormat="false" ht="15" hidden="false" customHeight="false" outlineLevel="0" collapsed="false">
      <c r="A7" s="4" t="s">
        <v>1359</v>
      </c>
      <c r="B7" s="4" t="s">
        <v>1355</v>
      </c>
      <c r="C7" s="4" t="s">
        <v>1360</v>
      </c>
      <c r="D7" s="5" t="n">
        <v>0.6</v>
      </c>
      <c r="E7" s="6" t="n">
        <v>4.71</v>
      </c>
      <c r="F7" s="7" t="n">
        <f aca="false">E7*2</f>
        <v>9.42</v>
      </c>
      <c r="G7" s="7" t="n">
        <f aca="false">E7*3.125</f>
        <v>14.71875</v>
      </c>
      <c r="H7" s="7" t="n">
        <f aca="false">E7*4.5</f>
        <v>21.195</v>
      </c>
      <c r="I7" s="7" t="n">
        <f aca="false">E7*9</f>
        <v>42.39</v>
      </c>
      <c r="J7" s="7" t="n">
        <f aca="false">E7*12</f>
        <v>56.52</v>
      </c>
    </row>
    <row r="8" customFormat="false" ht="15" hidden="false" customHeight="false" outlineLevel="0" collapsed="false">
      <c r="A8" s="9" t="s">
        <v>1361</v>
      </c>
      <c r="B8" s="9" t="s">
        <v>1355</v>
      </c>
      <c r="C8" s="9" t="s">
        <v>1362</v>
      </c>
      <c r="D8" s="10" t="n">
        <v>0.7</v>
      </c>
      <c r="E8" s="11" t="n">
        <v>5.49</v>
      </c>
      <c r="F8" s="12" t="n">
        <f aca="false">E8*2</f>
        <v>10.98</v>
      </c>
      <c r="G8" s="12" t="n">
        <f aca="false">E8*3.125</f>
        <v>17.15625</v>
      </c>
      <c r="H8" s="12" t="n">
        <f aca="false">E8*4.5</f>
        <v>24.705</v>
      </c>
      <c r="I8" s="12" t="n">
        <f aca="false">E8*9</f>
        <v>49.41</v>
      </c>
      <c r="J8" s="12" t="n">
        <f aca="false">E8*12</f>
        <v>65.88</v>
      </c>
    </row>
    <row r="9" customFormat="false" ht="15" hidden="false" customHeight="false" outlineLevel="0" collapsed="false">
      <c r="A9" s="4" t="s">
        <v>1363</v>
      </c>
      <c r="B9" s="4" t="s">
        <v>1355</v>
      </c>
      <c r="C9" s="4" t="s">
        <v>1364</v>
      </c>
      <c r="D9" s="5" t="n">
        <v>0.8</v>
      </c>
      <c r="E9" s="6" t="n">
        <v>6.28</v>
      </c>
      <c r="F9" s="7" t="n">
        <f aca="false">E9*2</f>
        <v>12.56</v>
      </c>
      <c r="G9" s="7" t="n">
        <f aca="false">E9*3.125</f>
        <v>19.625</v>
      </c>
      <c r="H9" s="7" t="n">
        <f aca="false">E9*4.5</f>
        <v>28.26</v>
      </c>
      <c r="I9" s="7" t="n">
        <f aca="false">E9*9</f>
        <v>56.52</v>
      </c>
      <c r="J9" s="7" t="n">
        <f aca="false">E9*12</f>
        <v>75.36</v>
      </c>
    </row>
    <row r="10" customFormat="false" ht="15" hidden="false" customHeight="false" outlineLevel="0" collapsed="false">
      <c r="A10" s="9" t="s">
        <v>1365</v>
      </c>
      <c r="B10" s="9" t="s">
        <v>1355</v>
      </c>
      <c r="C10" s="9" t="s">
        <v>1366</v>
      </c>
      <c r="D10" s="10" t="n">
        <v>0.9</v>
      </c>
      <c r="E10" s="11" t="n">
        <v>7.06</v>
      </c>
      <c r="F10" s="12" t="n">
        <f aca="false">E10*2</f>
        <v>14.12</v>
      </c>
      <c r="G10" s="12" t="n">
        <f aca="false">E10*3.125</f>
        <v>22.0625</v>
      </c>
      <c r="H10" s="12" t="n">
        <f aca="false">E10*4.5</f>
        <v>31.77</v>
      </c>
      <c r="I10" s="12" t="n">
        <f aca="false">E10*9</f>
        <v>63.54</v>
      </c>
      <c r="J10" s="12" t="n">
        <f aca="false">E10*12</f>
        <v>84.72</v>
      </c>
    </row>
    <row r="11" customFormat="false" ht="15" hidden="false" customHeight="false" outlineLevel="0" collapsed="false">
      <c r="A11" s="4" t="s">
        <v>1367</v>
      </c>
      <c r="B11" s="4" t="s">
        <v>1355</v>
      </c>
      <c r="C11" s="4" t="s">
        <v>1368</v>
      </c>
      <c r="D11" s="5" t="n">
        <v>1</v>
      </c>
      <c r="E11" s="6" t="n">
        <v>7.85</v>
      </c>
      <c r="F11" s="7" t="n">
        <f aca="false">E11*2</f>
        <v>15.7</v>
      </c>
      <c r="G11" s="7" t="n">
        <f aca="false">E11*3.125</f>
        <v>24.53125</v>
      </c>
      <c r="H11" s="7" t="n">
        <f aca="false">E11*4.5</f>
        <v>35.325</v>
      </c>
      <c r="I11" s="7" t="n">
        <f aca="false">E11*9</f>
        <v>70.65</v>
      </c>
      <c r="J11" s="7" t="n">
        <f aca="false">E11*12</f>
        <v>94.2</v>
      </c>
    </row>
    <row r="12" customFormat="false" ht="15" hidden="false" customHeight="false" outlineLevel="0" collapsed="false">
      <c r="A12" s="9" t="s">
        <v>1369</v>
      </c>
      <c r="B12" s="9" t="s">
        <v>1355</v>
      </c>
      <c r="C12" s="9" t="s">
        <v>1370</v>
      </c>
      <c r="D12" s="10" t="n">
        <v>1.2</v>
      </c>
      <c r="E12" s="11" t="n">
        <v>9.42</v>
      </c>
      <c r="F12" s="12" t="n">
        <f aca="false">E12*2</f>
        <v>18.84</v>
      </c>
      <c r="G12" s="12" t="n">
        <f aca="false">E12*3.125</f>
        <v>29.4375</v>
      </c>
      <c r="H12" s="12" t="n">
        <f aca="false">E12*4.5</f>
        <v>42.39</v>
      </c>
      <c r="I12" s="12" t="n">
        <f aca="false">E12*9</f>
        <v>84.78</v>
      </c>
      <c r="J12" s="12" t="n">
        <f aca="false">E12*12</f>
        <v>113.04</v>
      </c>
    </row>
    <row r="13" customFormat="false" ht="15" hidden="false" customHeight="false" outlineLevel="0" collapsed="false">
      <c r="A13" s="4" t="s">
        <v>1371</v>
      </c>
      <c r="B13" s="4" t="s">
        <v>1355</v>
      </c>
      <c r="C13" s="4" t="s">
        <v>1372</v>
      </c>
      <c r="D13" s="5" t="n">
        <v>1.5</v>
      </c>
      <c r="E13" s="6" t="n">
        <v>11.77</v>
      </c>
      <c r="F13" s="7" t="n">
        <f aca="false">E13*2</f>
        <v>23.54</v>
      </c>
      <c r="G13" s="7" t="n">
        <f aca="false">E13*3.125</f>
        <v>36.78125</v>
      </c>
      <c r="H13" s="7" t="n">
        <f aca="false">E13*4.5</f>
        <v>52.965</v>
      </c>
      <c r="I13" s="7" t="n">
        <f aca="false">E13*9</f>
        <v>105.93</v>
      </c>
      <c r="J13" s="7" t="n">
        <f aca="false">E13*12</f>
        <v>141.24</v>
      </c>
    </row>
    <row r="14" customFormat="false" ht="15" hidden="false" customHeight="false" outlineLevel="0" collapsed="false">
      <c r="A14" s="9" t="s">
        <v>1373</v>
      </c>
      <c r="B14" s="9" t="s">
        <v>1355</v>
      </c>
      <c r="C14" s="9" t="s">
        <v>1374</v>
      </c>
      <c r="D14" s="10" t="n">
        <v>2</v>
      </c>
      <c r="E14" s="11" t="n">
        <v>15.7</v>
      </c>
      <c r="F14" s="12" t="n">
        <f aca="false">E14*2</f>
        <v>31.4</v>
      </c>
      <c r="G14" s="12" t="n">
        <f aca="false">E14*3.125</f>
        <v>49.0625</v>
      </c>
      <c r="H14" s="12" t="n">
        <f aca="false">E14*4.5</f>
        <v>70.65</v>
      </c>
      <c r="I14" s="12" t="n">
        <f aca="false">E14*9</f>
        <v>141.3</v>
      </c>
      <c r="J14" s="12" t="n">
        <f aca="false">E14*12</f>
        <v>188.4</v>
      </c>
    </row>
    <row r="15" customFormat="false" ht="15" hidden="false" customHeight="false" outlineLevel="0" collapsed="false">
      <c r="A15" s="4" t="s">
        <v>1375</v>
      </c>
      <c r="B15" s="4" t="s">
        <v>1355</v>
      </c>
      <c r="C15" s="4" t="s">
        <v>1376</v>
      </c>
      <c r="D15" s="5" t="n">
        <v>2.5</v>
      </c>
      <c r="E15" s="6" t="n">
        <v>19.62</v>
      </c>
      <c r="F15" s="7" t="n">
        <f aca="false">E15*2</f>
        <v>39.24</v>
      </c>
      <c r="G15" s="7" t="n">
        <f aca="false">E15*3.125</f>
        <v>61.3125</v>
      </c>
      <c r="H15" s="7" t="n">
        <f aca="false">E15*4.5</f>
        <v>88.29</v>
      </c>
      <c r="I15" s="7" t="n">
        <f aca="false">E15*9</f>
        <v>176.58</v>
      </c>
      <c r="J15" s="7" t="n">
        <f aca="false">E15*12</f>
        <v>235.44</v>
      </c>
    </row>
    <row r="16" customFormat="false" ht="15" hidden="false" customHeight="false" outlineLevel="0" collapsed="false">
      <c r="A16" s="9" t="s">
        <v>1377</v>
      </c>
      <c r="B16" s="9" t="s">
        <v>1355</v>
      </c>
      <c r="C16" s="9" t="s">
        <v>1378</v>
      </c>
      <c r="D16" s="10" t="n">
        <v>3</v>
      </c>
      <c r="E16" s="11" t="n">
        <v>23.55</v>
      </c>
      <c r="F16" s="12" t="n">
        <f aca="false">E16*2</f>
        <v>47.1</v>
      </c>
      <c r="G16" s="12" t="n">
        <f aca="false">E16*3.125</f>
        <v>73.59375</v>
      </c>
      <c r="H16" s="12" t="n">
        <f aca="false">E16*4.5</f>
        <v>105.975</v>
      </c>
      <c r="I16" s="12" t="n">
        <f aca="false">E16*9</f>
        <v>211.95</v>
      </c>
      <c r="J16" s="12" t="n">
        <f aca="false">E16*12</f>
        <v>282.6</v>
      </c>
    </row>
    <row r="17" customFormat="false" ht="15" hidden="false" customHeight="false" outlineLevel="0" collapsed="false">
      <c r="A17" s="4" t="s">
        <v>1379</v>
      </c>
      <c r="B17" s="4" t="s">
        <v>1380</v>
      </c>
      <c r="C17" s="4" t="s">
        <v>1372</v>
      </c>
      <c r="D17" s="5" t="n">
        <v>1.5</v>
      </c>
      <c r="E17" s="6" t="n">
        <v>11.77</v>
      </c>
      <c r="F17" s="7" t="n">
        <f aca="false">E17*2</f>
        <v>23.54</v>
      </c>
      <c r="G17" s="7" t="n">
        <f aca="false">E17*3.125</f>
        <v>36.78125</v>
      </c>
      <c r="H17" s="7" t="n">
        <f aca="false">E17*4.5</f>
        <v>52.965</v>
      </c>
      <c r="I17" s="7" t="n">
        <f aca="false">E17*9</f>
        <v>105.93</v>
      </c>
      <c r="J17" s="7" t="n">
        <f aca="false">E17*12</f>
        <v>141.24</v>
      </c>
    </row>
    <row r="18" customFormat="false" ht="15" hidden="false" customHeight="false" outlineLevel="0" collapsed="false">
      <c r="A18" s="9" t="s">
        <v>1381</v>
      </c>
      <c r="B18" s="9" t="s">
        <v>1380</v>
      </c>
      <c r="C18" s="9" t="s">
        <v>1374</v>
      </c>
      <c r="D18" s="10" t="n">
        <v>2</v>
      </c>
      <c r="E18" s="11" t="n">
        <v>15.7</v>
      </c>
      <c r="F18" s="12" t="n">
        <f aca="false">E18*2</f>
        <v>31.4</v>
      </c>
      <c r="G18" s="12" t="n">
        <f aca="false">E18*3.125</f>
        <v>49.0625</v>
      </c>
      <c r="H18" s="12" t="n">
        <f aca="false">E18*4.5</f>
        <v>70.65</v>
      </c>
      <c r="I18" s="12" t="n">
        <f aca="false">E18*9</f>
        <v>141.3</v>
      </c>
      <c r="J18" s="12" t="n">
        <f aca="false">E18*12</f>
        <v>188.4</v>
      </c>
    </row>
    <row r="19" customFormat="false" ht="15" hidden="false" customHeight="false" outlineLevel="0" collapsed="false">
      <c r="A19" s="4" t="s">
        <v>1382</v>
      </c>
      <c r="B19" s="4" t="s">
        <v>1380</v>
      </c>
      <c r="C19" s="4" t="s">
        <v>1376</v>
      </c>
      <c r="D19" s="5" t="n">
        <v>2.5</v>
      </c>
      <c r="E19" s="6" t="n">
        <v>19.62</v>
      </c>
      <c r="F19" s="7" t="n">
        <f aca="false">E19*2</f>
        <v>39.24</v>
      </c>
      <c r="G19" s="7" t="n">
        <f aca="false">E19*3.125</f>
        <v>61.3125</v>
      </c>
      <c r="H19" s="7" t="n">
        <f aca="false">E19*4.5</f>
        <v>88.29</v>
      </c>
      <c r="I19" s="7" t="n">
        <f aca="false">E19*9</f>
        <v>176.58</v>
      </c>
      <c r="J19" s="7" t="n">
        <f aca="false">E19*12</f>
        <v>235.44</v>
      </c>
    </row>
    <row r="20" customFormat="false" ht="15" hidden="false" customHeight="false" outlineLevel="0" collapsed="false">
      <c r="A20" s="9" t="s">
        <v>1383</v>
      </c>
      <c r="B20" s="9" t="s">
        <v>1380</v>
      </c>
      <c r="C20" s="9" t="s">
        <v>1378</v>
      </c>
      <c r="D20" s="10" t="n">
        <v>3</v>
      </c>
      <c r="E20" s="11" t="n">
        <v>23.55</v>
      </c>
      <c r="F20" s="12" t="n">
        <f aca="false">E20*2</f>
        <v>47.1</v>
      </c>
      <c r="G20" s="12" t="n">
        <f aca="false">E20*3.125</f>
        <v>73.59375</v>
      </c>
      <c r="H20" s="12" t="n">
        <f aca="false">E20*4.5</f>
        <v>105.975</v>
      </c>
      <c r="I20" s="12" t="n">
        <f aca="false">E20*9</f>
        <v>211.95</v>
      </c>
      <c r="J20" s="12" t="n">
        <f aca="false">E20*12</f>
        <v>282.6</v>
      </c>
    </row>
    <row r="21" customFormat="false" ht="15" hidden="false" customHeight="false" outlineLevel="0" collapsed="false">
      <c r="A21" s="4" t="s">
        <v>1384</v>
      </c>
      <c r="B21" s="4" t="s">
        <v>1380</v>
      </c>
      <c r="C21" s="4" t="s">
        <v>1385</v>
      </c>
      <c r="D21" s="5" t="n">
        <v>4</v>
      </c>
      <c r="E21" s="6" t="n">
        <v>31.4</v>
      </c>
      <c r="F21" s="7" t="n">
        <f aca="false">E21*2</f>
        <v>62.8</v>
      </c>
      <c r="G21" s="7" t="n">
        <f aca="false">E21*3.125</f>
        <v>98.125</v>
      </c>
      <c r="H21" s="7" t="n">
        <f aca="false">E21*4.5</f>
        <v>141.3</v>
      </c>
      <c r="I21" s="7" t="n">
        <f aca="false">E21*9</f>
        <v>282.6</v>
      </c>
      <c r="J21" s="7" t="n">
        <f aca="false">E21*12</f>
        <v>376.8</v>
      </c>
    </row>
    <row r="22" customFormat="false" ht="15" hidden="false" customHeight="false" outlineLevel="0" collapsed="false">
      <c r="A22" s="9" t="s">
        <v>1386</v>
      </c>
      <c r="B22" s="9" t="s">
        <v>1380</v>
      </c>
      <c r="C22" s="9" t="s">
        <v>1387</v>
      </c>
      <c r="D22" s="10" t="n">
        <v>5</v>
      </c>
      <c r="E22" s="11" t="n">
        <v>39.25</v>
      </c>
      <c r="F22" s="12" t="n">
        <f aca="false">E22*2</f>
        <v>78.5</v>
      </c>
      <c r="G22" s="12" t="n">
        <f aca="false">E22*3.125</f>
        <v>122.65625</v>
      </c>
      <c r="H22" s="12" t="n">
        <f aca="false">E22*4.5</f>
        <v>176.625</v>
      </c>
      <c r="I22" s="12" t="n">
        <f aca="false">E22*9</f>
        <v>353.25</v>
      </c>
      <c r="J22" s="12" t="n">
        <f aca="false">E22*12</f>
        <v>471</v>
      </c>
    </row>
    <row r="23" customFormat="false" ht="15" hidden="false" customHeight="false" outlineLevel="0" collapsed="false">
      <c r="A23" s="4" t="s">
        <v>1388</v>
      </c>
      <c r="B23" s="4" t="s">
        <v>1380</v>
      </c>
      <c r="C23" s="4" t="s">
        <v>1389</v>
      </c>
      <c r="D23" s="5" t="n">
        <v>6</v>
      </c>
      <c r="E23" s="6" t="n">
        <v>47.1</v>
      </c>
      <c r="F23" s="7" t="n">
        <f aca="false">E23*2</f>
        <v>94.2</v>
      </c>
      <c r="G23" s="7" t="n">
        <f aca="false">E23*3.125</f>
        <v>147.1875</v>
      </c>
      <c r="H23" s="7" t="n">
        <f aca="false">E23*4.5</f>
        <v>211.95</v>
      </c>
      <c r="I23" s="7" t="n">
        <f aca="false">E23*9</f>
        <v>423.9</v>
      </c>
      <c r="J23" s="7" t="n">
        <f aca="false">E23*12</f>
        <v>565.2</v>
      </c>
    </row>
    <row r="24" customFormat="false" ht="15" hidden="false" customHeight="false" outlineLevel="0" collapsed="false">
      <c r="A24" s="9" t="s">
        <v>1390</v>
      </c>
      <c r="B24" s="9" t="s">
        <v>1380</v>
      </c>
      <c r="C24" s="9" t="s">
        <v>1391</v>
      </c>
      <c r="D24" s="10" t="n">
        <v>8</v>
      </c>
      <c r="E24" s="11" t="n">
        <v>62.8</v>
      </c>
      <c r="F24" s="12" t="n">
        <f aca="false">E24*2</f>
        <v>125.6</v>
      </c>
      <c r="G24" s="12" t="n">
        <f aca="false">E24*3.125</f>
        <v>196.25</v>
      </c>
      <c r="H24" s="12" t="n">
        <f aca="false">E24*4.5</f>
        <v>282.6</v>
      </c>
      <c r="I24" s="12" t="n">
        <f aca="false">E24*9</f>
        <v>565.2</v>
      </c>
      <c r="J24" s="12" t="n">
        <f aca="false">E24*12</f>
        <v>753.6</v>
      </c>
    </row>
    <row r="25" customFormat="false" ht="15" hidden="false" customHeight="false" outlineLevel="0" collapsed="false">
      <c r="A25" s="4" t="s">
        <v>1392</v>
      </c>
      <c r="B25" s="4" t="s">
        <v>1380</v>
      </c>
      <c r="C25" s="4" t="s">
        <v>1393</v>
      </c>
      <c r="D25" s="5" t="n">
        <v>10</v>
      </c>
      <c r="E25" s="6" t="n">
        <v>78.5</v>
      </c>
      <c r="F25" s="7" t="n">
        <f aca="false">E25*2</f>
        <v>157</v>
      </c>
      <c r="G25" s="7" t="n">
        <f aca="false">E25*3.125</f>
        <v>245.3125</v>
      </c>
      <c r="H25" s="7" t="n">
        <f aca="false">E25*4.5</f>
        <v>353.25</v>
      </c>
      <c r="I25" s="7" t="n">
        <f aca="false">E25*9</f>
        <v>706.5</v>
      </c>
      <c r="J25" s="7" t="n">
        <f aca="false">E25*12</f>
        <v>942</v>
      </c>
    </row>
    <row r="26" customFormat="false" ht="15" hidden="false" customHeight="false" outlineLevel="0" collapsed="false">
      <c r="A26" s="9" t="s">
        <v>1394</v>
      </c>
      <c r="B26" s="9" t="s">
        <v>1380</v>
      </c>
      <c r="C26" s="9" t="s">
        <v>1395</v>
      </c>
      <c r="D26" s="10" t="n">
        <v>12</v>
      </c>
      <c r="E26" s="11" t="n">
        <v>94.2</v>
      </c>
      <c r="F26" s="12" t="n">
        <f aca="false">E26*2</f>
        <v>188.4</v>
      </c>
      <c r="G26" s="12" t="n">
        <f aca="false">E26*3.125</f>
        <v>294.375</v>
      </c>
      <c r="H26" s="12" t="n">
        <f aca="false">E26*4.5</f>
        <v>423.9</v>
      </c>
      <c r="I26" s="12" t="n">
        <f aca="false">E26*9</f>
        <v>847.8</v>
      </c>
      <c r="J26" s="12" t="n">
        <f aca="false">E26*12</f>
        <v>1130.4</v>
      </c>
    </row>
    <row r="27" customFormat="false" ht="15" hidden="false" customHeight="false" outlineLevel="0" collapsed="false">
      <c r="A27" s="4" t="s">
        <v>1396</v>
      </c>
      <c r="B27" s="4" t="s">
        <v>1380</v>
      </c>
      <c r="C27" s="4" t="s">
        <v>1397</v>
      </c>
      <c r="D27" s="5" t="n">
        <v>15</v>
      </c>
      <c r="E27" s="6" t="n">
        <v>117.75</v>
      </c>
      <c r="F27" s="7" t="n">
        <f aca="false">E27*2</f>
        <v>235.5</v>
      </c>
      <c r="G27" s="7" t="n">
        <f aca="false">E27*3.125</f>
        <v>367.96875</v>
      </c>
      <c r="H27" s="7" t="n">
        <f aca="false">E27*4.5</f>
        <v>529.875</v>
      </c>
      <c r="I27" s="7" t="n">
        <f aca="false">E27*9</f>
        <v>1059.75</v>
      </c>
      <c r="J27" s="7" t="n">
        <f aca="false">E27*12</f>
        <v>1413</v>
      </c>
    </row>
    <row r="28" customFormat="false" ht="15" hidden="false" customHeight="false" outlineLevel="0" collapsed="false">
      <c r="A28" s="9" t="s">
        <v>1398</v>
      </c>
      <c r="B28" s="9" t="s">
        <v>1380</v>
      </c>
      <c r="C28" s="9" t="s">
        <v>1399</v>
      </c>
      <c r="D28" s="10" t="n">
        <v>20</v>
      </c>
      <c r="E28" s="11" t="n">
        <v>157</v>
      </c>
      <c r="F28" s="12" t="n">
        <f aca="false">E28*2</f>
        <v>314</v>
      </c>
      <c r="G28" s="12" t="n">
        <f aca="false">E28*3.125</f>
        <v>490.625</v>
      </c>
      <c r="H28" s="12" t="n">
        <f aca="false">E28*4.5</f>
        <v>706.5</v>
      </c>
      <c r="I28" s="12" t="n">
        <f aca="false">E28*9</f>
        <v>1413</v>
      </c>
      <c r="J28" s="12" t="n">
        <f aca="false">E28*12</f>
        <v>1884</v>
      </c>
    </row>
    <row r="29" customFormat="false" ht="15" hidden="false" customHeight="false" outlineLevel="0" collapsed="false">
      <c r="A29" s="4" t="s">
        <v>1400</v>
      </c>
      <c r="B29" s="4" t="s">
        <v>1380</v>
      </c>
      <c r="C29" s="4" t="s">
        <v>1401</v>
      </c>
      <c r="D29" s="5" t="n">
        <v>25</v>
      </c>
      <c r="E29" s="6" t="n">
        <v>196.25</v>
      </c>
      <c r="F29" s="7" t="n">
        <f aca="false">E29*2</f>
        <v>392.5</v>
      </c>
      <c r="G29" s="7" t="n">
        <f aca="false">E29*3.125</f>
        <v>613.28125</v>
      </c>
      <c r="H29" s="7" t="n">
        <f aca="false">E29*4.5</f>
        <v>883.125</v>
      </c>
      <c r="I29" s="7" t="n">
        <f aca="false">E29*9</f>
        <v>1766.25</v>
      </c>
      <c r="J29" s="7" t="n">
        <f aca="false">E29*12</f>
        <v>2355</v>
      </c>
    </row>
    <row r="30" customFormat="false" ht="15" hidden="false" customHeight="false" outlineLevel="0" collapsed="false">
      <c r="A30" s="9" t="s">
        <v>1402</v>
      </c>
      <c r="B30" s="9" t="s">
        <v>1380</v>
      </c>
      <c r="C30" s="9" t="s">
        <v>1403</v>
      </c>
      <c r="D30" s="10" t="n">
        <v>30</v>
      </c>
      <c r="E30" s="11" t="n">
        <v>235.5</v>
      </c>
      <c r="F30" s="12" t="n">
        <f aca="false">E30*2</f>
        <v>471</v>
      </c>
      <c r="G30" s="12" t="n">
        <f aca="false">E30*3.125</f>
        <v>735.9375</v>
      </c>
      <c r="H30" s="12" t="n">
        <f aca="false">E30*4.5</f>
        <v>1059.75</v>
      </c>
      <c r="I30" s="12" t="n">
        <f aca="false">E30*9</f>
        <v>2119.5</v>
      </c>
      <c r="J30" s="12" t="n">
        <f aca="false">E30*12</f>
        <v>2826</v>
      </c>
    </row>
    <row r="31" customFormat="false" ht="15" hidden="false" customHeight="false" outlineLevel="0" collapsed="false">
      <c r="A31" s="4" t="s">
        <v>1404</v>
      </c>
      <c r="B31" s="4" t="s">
        <v>1380</v>
      </c>
      <c r="C31" s="4" t="s">
        <v>1405</v>
      </c>
      <c r="D31" s="5" t="n">
        <v>40</v>
      </c>
      <c r="E31" s="6" t="n">
        <v>314</v>
      </c>
      <c r="F31" s="7" t="n">
        <f aca="false">E31*2</f>
        <v>628</v>
      </c>
      <c r="G31" s="7" t="n">
        <f aca="false">E31*3.125</f>
        <v>981.25</v>
      </c>
      <c r="H31" s="7" t="n">
        <f aca="false">E31*4.5</f>
        <v>1413</v>
      </c>
      <c r="I31" s="7" t="n">
        <f aca="false">E31*9</f>
        <v>2826</v>
      </c>
      <c r="J31" s="7" t="n">
        <f aca="false">E31*12</f>
        <v>3768</v>
      </c>
    </row>
    <row r="32" customFormat="false" ht="15" hidden="false" customHeight="false" outlineLevel="0" collapsed="false">
      <c r="A32" s="9" t="s">
        <v>1406</v>
      </c>
      <c r="B32" s="9" t="s">
        <v>1380</v>
      </c>
      <c r="C32" s="9" t="s">
        <v>1407</v>
      </c>
      <c r="D32" s="10" t="n">
        <v>50</v>
      </c>
      <c r="E32" s="11" t="n">
        <v>392.5</v>
      </c>
      <c r="F32" s="12" t="n">
        <f aca="false">E32*2</f>
        <v>785</v>
      </c>
      <c r="G32" s="12" t="n">
        <f aca="false">E32*3.125</f>
        <v>1226.5625</v>
      </c>
      <c r="H32" s="12" t="n">
        <f aca="false">E32*4.5</f>
        <v>1766.25</v>
      </c>
      <c r="I32" s="12" t="n">
        <f aca="false">E32*9</f>
        <v>3532.5</v>
      </c>
      <c r="J32" s="12" t="n">
        <f aca="false">E32*12</f>
        <v>4710</v>
      </c>
    </row>
    <row r="33" customFormat="false" ht="15" hidden="false" customHeight="false" outlineLevel="0" collapsed="false">
      <c r="A33" s="4" t="s">
        <v>1408</v>
      </c>
      <c r="B33" s="4" t="s">
        <v>1409</v>
      </c>
      <c r="C33" s="4" t="s">
        <v>1356</v>
      </c>
      <c r="D33" s="5" t="n">
        <v>0.4</v>
      </c>
      <c r="E33" s="6" t="n">
        <v>3.42</v>
      </c>
      <c r="F33" s="7" t="n">
        <f aca="false">E33*2</f>
        <v>6.84</v>
      </c>
      <c r="G33" s="7" t="n">
        <f aca="false">E33*3.125</f>
        <v>10.6875</v>
      </c>
      <c r="H33" s="7" t="n">
        <f aca="false">E33*4.5</f>
        <v>15.39</v>
      </c>
      <c r="I33" s="7" t="n">
        <f aca="false">E33*9</f>
        <v>30.78</v>
      </c>
      <c r="J33" s="7" t="n">
        <f aca="false">E33*12</f>
        <v>41.04</v>
      </c>
    </row>
    <row r="34" customFormat="false" ht="15" hidden="false" customHeight="false" outlineLevel="0" collapsed="false">
      <c r="A34" s="9" t="s">
        <v>1410</v>
      </c>
      <c r="B34" s="9" t="s">
        <v>1409</v>
      </c>
      <c r="C34" s="9" t="s">
        <v>1358</v>
      </c>
      <c r="D34" s="10" t="n">
        <v>0.5</v>
      </c>
      <c r="E34" s="11" t="n">
        <v>4.2</v>
      </c>
      <c r="F34" s="12" t="n">
        <f aca="false">E34*2</f>
        <v>8.4</v>
      </c>
      <c r="G34" s="12" t="n">
        <f aca="false">E34*3.125</f>
        <v>13.125</v>
      </c>
      <c r="H34" s="12" t="n">
        <f aca="false">E34*4.5</f>
        <v>18.9</v>
      </c>
      <c r="I34" s="12" t="n">
        <f aca="false">E34*9</f>
        <v>37.8</v>
      </c>
      <c r="J34" s="12" t="n">
        <f aca="false">E34*12</f>
        <v>50.4</v>
      </c>
    </row>
    <row r="35" customFormat="false" ht="15" hidden="false" customHeight="false" outlineLevel="0" collapsed="false">
      <c r="A35" s="4" t="s">
        <v>1411</v>
      </c>
      <c r="B35" s="4" t="s">
        <v>1409</v>
      </c>
      <c r="C35" s="4" t="s">
        <v>1360</v>
      </c>
      <c r="D35" s="5" t="n">
        <v>0.6</v>
      </c>
      <c r="E35" s="6" t="n">
        <v>4.99</v>
      </c>
      <c r="F35" s="7" t="n">
        <f aca="false">E35*2</f>
        <v>9.98</v>
      </c>
      <c r="G35" s="7" t="n">
        <f aca="false">E35*3.125</f>
        <v>15.59375</v>
      </c>
      <c r="H35" s="7" t="n">
        <f aca="false">E35*4.5</f>
        <v>22.455</v>
      </c>
      <c r="I35" s="7" t="n">
        <f aca="false">E35*9</f>
        <v>44.91</v>
      </c>
      <c r="J35" s="7" t="n">
        <f aca="false">E35*12</f>
        <v>59.88</v>
      </c>
    </row>
    <row r="36" customFormat="false" ht="15" hidden="false" customHeight="false" outlineLevel="0" collapsed="false">
      <c r="A36" s="9" t="s">
        <v>1412</v>
      </c>
      <c r="B36" s="9" t="s">
        <v>1409</v>
      </c>
      <c r="C36" s="9" t="s">
        <v>1362</v>
      </c>
      <c r="D36" s="10" t="n">
        <v>0.7</v>
      </c>
      <c r="E36" s="11" t="n">
        <v>5.77</v>
      </c>
      <c r="F36" s="12" t="n">
        <f aca="false">E36*2</f>
        <v>11.54</v>
      </c>
      <c r="G36" s="12" t="n">
        <f aca="false">E36*3.125</f>
        <v>18.03125</v>
      </c>
      <c r="H36" s="12" t="n">
        <f aca="false">E36*4.5</f>
        <v>25.965</v>
      </c>
      <c r="I36" s="12" t="n">
        <f aca="false">E36*9</f>
        <v>51.93</v>
      </c>
      <c r="J36" s="12" t="n">
        <f aca="false">E36*12</f>
        <v>69.24</v>
      </c>
    </row>
    <row r="37" customFormat="false" ht="15" hidden="false" customHeight="false" outlineLevel="0" collapsed="false">
      <c r="A37" s="4" t="s">
        <v>1413</v>
      </c>
      <c r="B37" s="4" t="s">
        <v>1409</v>
      </c>
      <c r="C37" s="4" t="s">
        <v>1364</v>
      </c>
      <c r="D37" s="5" t="n">
        <v>0.8</v>
      </c>
      <c r="E37" s="6" t="n">
        <v>6.56</v>
      </c>
      <c r="F37" s="7" t="n">
        <f aca="false">E37*2</f>
        <v>13.12</v>
      </c>
      <c r="G37" s="7" t="n">
        <f aca="false">E37*3.125</f>
        <v>20.5</v>
      </c>
      <c r="H37" s="7" t="n">
        <f aca="false">E37*4.5</f>
        <v>29.52</v>
      </c>
      <c r="I37" s="7" t="n">
        <f aca="false">E37*9</f>
        <v>59.04</v>
      </c>
      <c r="J37" s="7" t="n">
        <f aca="false">E37*12</f>
        <v>78.72</v>
      </c>
    </row>
    <row r="38" customFormat="false" ht="15" hidden="false" customHeight="false" outlineLevel="0" collapsed="false">
      <c r="A38" s="9" t="s">
        <v>1414</v>
      </c>
      <c r="B38" s="9" t="s">
        <v>1409</v>
      </c>
      <c r="C38" s="9" t="s">
        <v>1368</v>
      </c>
      <c r="D38" s="10" t="n">
        <v>1</v>
      </c>
      <c r="E38" s="11" t="n">
        <v>8.12</v>
      </c>
      <c r="F38" s="12" t="n">
        <f aca="false">E38*2</f>
        <v>16.24</v>
      </c>
      <c r="G38" s="12" t="n">
        <f aca="false">E38*3.125</f>
        <v>25.375</v>
      </c>
      <c r="H38" s="12" t="n">
        <f aca="false">E38*4.5</f>
        <v>36.54</v>
      </c>
      <c r="I38" s="12" t="n">
        <f aca="false">E38*9</f>
        <v>73.08</v>
      </c>
      <c r="J38" s="12" t="n">
        <f aca="false">E38*12</f>
        <v>97.44</v>
      </c>
    </row>
    <row r="39" customFormat="false" ht="15" hidden="false" customHeight="false" outlineLevel="0" collapsed="false">
      <c r="A39" s="4" t="s">
        <v>1415</v>
      </c>
      <c r="B39" s="4" t="s">
        <v>1409</v>
      </c>
      <c r="C39" s="4" t="s">
        <v>1370</v>
      </c>
      <c r="D39" s="5" t="n">
        <v>1.2</v>
      </c>
      <c r="E39" s="6" t="n">
        <v>9.7</v>
      </c>
      <c r="F39" s="7" t="n">
        <f aca="false">E39*2</f>
        <v>19.4</v>
      </c>
      <c r="G39" s="7" t="n">
        <f aca="false">E39*3.125</f>
        <v>30.3125</v>
      </c>
      <c r="H39" s="7" t="n">
        <f aca="false">E39*4.5</f>
        <v>43.65</v>
      </c>
      <c r="I39" s="7" t="n">
        <f aca="false">E39*9</f>
        <v>87.3</v>
      </c>
      <c r="J39" s="7" t="n">
        <f aca="false">E39*12</f>
        <v>116.4</v>
      </c>
    </row>
    <row r="40" customFormat="false" ht="15" hidden="false" customHeight="false" outlineLevel="0" collapsed="false">
      <c r="A40" s="9" t="s">
        <v>1416</v>
      </c>
      <c r="B40" s="9" t="s">
        <v>1409</v>
      </c>
      <c r="C40" s="9" t="s">
        <v>1372</v>
      </c>
      <c r="D40" s="10" t="n">
        <v>1.5</v>
      </c>
      <c r="E40" s="11" t="n">
        <v>12.05</v>
      </c>
      <c r="F40" s="12" t="n">
        <f aca="false">E40*2</f>
        <v>24.1</v>
      </c>
      <c r="G40" s="12" t="n">
        <f aca="false">E40*3.125</f>
        <v>37.65625</v>
      </c>
      <c r="H40" s="12" t="n">
        <f aca="false">E40*4.5</f>
        <v>54.225</v>
      </c>
      <c r="I40" s="12" t="n">
        <f aca="false">E40*9</f>
        <v>108.45</v>
      </c>
      <c r="J40" s="12" t="n">
        <f aca="false">E40*12</f>
        <v>144.6</v>
      </c>
    </row>
    <row r="41" customFormat="false" ht="15" hidden="false" customHeight="false" outlineLevel="0" collapsed="false">
      <c r="A41" s="4" t="s">
        <v>1417</v>
      </c>
      <c r="B41" s="4" t="s">
        <v>1409</v>
      </c>
      <c r="C41" s="4" t="s">
        <v>1374</v>
      </c>
      <c r="D41" s="5" t="n">
        <v>2</v>
      </c>
      <c r="E41" s="6" t="n">
        <v>15.97</v>
      </c>
      <c r="F41" s="7" t="n">
        <f aca="false">E41*2</f>
        <v>31.94</v>
      </c>
      <c r="G41" s="7" t="n">
        <f aca="false">E41*3.125</f>
        <v>49.90625</v>
      </c>
      <c r="H41" s="7" t="n">
        <f aca="false">E41*4.5</f>
        <v>71.865</v>
      </c>
      <c r="I41" s="7" t="n">
        <f aca="false">E41*9</f>
        <v>143.73</v>
      </c>
      <c r="J41" s="7" t="n">
        <f aca="false">E41*12</f>
        <v>191.64</v>
      </c>
    </row>
    <row r="42" customFormat="false" ht="15" hidden="false" customHeight="false" outlineLevel="0" collapsed="false">
      <c r="A42" s="9" t="s">
        <v>1418</v>
      </c>
      <c r="B42" s="9" t="s">
        <v>1409</v>
      </c>
      <c r="C42" s="9" t="s">
        <v>1376</v>
      </c>
      <c r="D42" s="10" t="n">
        <v>2.5</v>
      </c>
      <c r="E42" s="11" t="n">
        <v>19.9</v>
      </c>
      <c r="F42" s="12" t="n">
        <f aca="false">E42*2</f>
        <v>39.8</v>
      </c>
      <c r="G42" s="12" t="n">
        <f aca="false">E42*3.125</f>
        <v>62.1875</v>
      </c>
      <c r="H42" s="12" t="n">
        <f aca="false">E42*4.5</f>
        <v>89.55</v>
      </c>
      <c r="I42" s="12" t="n">
        <f aca="false">E42*9</f>
        <v>179.1</v>
      </c>
      <c r="J42" s="12" t="n">
        <f aca="false">E42*12</f>
        <v>238.8</v>
      </c>
    </row>
    <row r="43" customFormat="false" ht="15" hidden="false" customHeight="false" outlineLevel="0" collapsed="false">
      <c r="A43" s="4" t="s">
        <v>1419</v>
      </c>
      <c r="B43" s="4" t="s">
        <v>1409</v>
      </c>
      <c r="C43" s="4" t="s">
        <v>1378</v>
      </c>
      <c r="D43" s="5" t="n">
        <v>3</v>
      </c>
      <c r="E43" s="6" t="n">
        <v>23.82</v>
      </c>
      <c r="F43" s="7" t="n">
        <f aca="false">E43*2</f>
        <v>47.64</v>
      </c>
      <c r="G43" s="7" t="n">
        <f aca="false">E43*3.125</f>
        <v>74.4375</v>
      </c>
      <c r="H43" s="7" t="n">
        <f aca="false">E43*4.5</f>
        <v>107.19</v>
      </c>
      <c r="I43" s="7" t="n">
        <f aca="false">E43*9</f>
        <v>214.38</v>
      </c>
      <c r="J43" s="7" t="n">
        <f aca="false">E43*12</f>
        <v>285.84</v>
      </c>
    </row>
    <row r="44" customFormat="false" ht="15" hidden="false" customHeight="false" outlineLevel="0" collapsed="false">
      <c r="A44" s="9" t="s">
        <v>1420</v>
      </c>
      <c r="B44" s="9" t="s">
        <v>1421</v>
      </c>
      <c r="C44" s="9" t="s">
        <v>1374</v>
      </c>
      <c r="D44" s="10" t="n">
        <v>2</v>
      </c>
      <c r="E44" s="11" t="n">
        <v>17.7</v>
      </c>
      <c r="F44" s="12" t="n">
        <f aca="false">E44*2</f>
        <v>35.4</v>
      </c>
      <c r="G44" s="12" t="n">
        <f aca="false">E44*3.125</f>
        <v>55.3125</v>
      </c>
      <c r="H44" s="12" t="n">
        <f aca="false">E44*4.5</f>
        <v>79.65</v>
      </c>
      <c r="I44" s="12" t="n">
        <f aca="false">E44*9</f>
        <v>159.3</v>
      </c>
      <c r="J44" s="12" t="n">
        <f aca="false">E44*12</f>
        <v>212.4</v>
      </c>
    </row>
    <row r="45" customFormat="false" ht="15" hidden="false" customHeight="false" outlineLevel="0" collapsed="false">
      <c r="A45" s="4" t="s">
        <v>1422</v>
      </c>
      <c r="B45" s="4" t="s">
        <v>1421</v>
      </c>
      <c r="C45" s="4" t="s">
        <v>1376</v>
      </c>
      <c r="D45" s="5" t="n">
        <v>2.5</v>
      </c>
      <c r="E45" s="6" t="n">
        <v>21.62</v>
      </c>
      <c r="F45" s="7" t="n">
        <f aca="false">E45*2</f>
        <v>43.24</v>
      </c>
      <c r="G45" s="7" t="n">
        <f aca="false">E45*3.125</f>
        <v>67.5625</v>
      </c>
      <c r="H45" s="7" t="n">
        <f aca="false">E45*4.5</f>
        <v>97.29</v>
      </c>
      <c r="I45" s="7" t="n">
        <f aca="false">E45*9</f>
        <v>194.58</v>
      </c>
      <c r="J45" s="7" t="n">
        <f aca="false">E45*12</f>
        <v>259.44</v>
      </c>
    </row>
    <row r="46" customFormat="false" ht="15" hidden="false" customHeight="false" outlineLevel="0" collapsed="false">
      <c r="A46" s="9" t="s">
        <v>1423</v>
      </c>
      <c r="B46" s="9" t="s">
        <v>1421</v>
      </c>
      <c r="C46" s="9" t="s">
        <v>1378</v>
      </c>
      <c r="D46" s="10" t="n">
        <v>3</v>
      </c>
      <c r="E46" s="11" t="n">
        <v>25.55</v>
      </c>
      <c r="F46" s="12" t="n">
        <f aca="false">E46*2</f>
        <v>51.1</v>
      </c>
      <c r="G46" s="12" t="n">
        <f aca="false">E46*3.125</f>
        <v>79.84375</v>
      </c>
      <c r="H46" s="12" t="n">
        <f aca="false">E46*4.5</f>
        <v>114.975</v>
      </c>
      <c r="I46" s="12" t="n">
        <f aca="false">E46*9</f>
        <v>229.95</v>
      </c>
      <c r="J46" s="12" t="n">
        <f aca="false">E46*12</f>
        <v>306.6</v>
      </c>
    </row>
    <row r="47" customFormat="false" ht="15" hidden="false" customHeight="false" outlineLevel="0" collapsed="false">
      <c r="A47" s="4" t="s">
        <v>1424</v>
      </c>
      <c r="B47" s="4" t="s">
        <v>1421</v>
      </c>
      <c r="C47" s="4" t="s">
        <v>1385</v>
      </c>
      <c r="D47" s="5" t="n">
        <v>4</v>
      </c>
      <c r="E47" s="6" t="n">
        <v>33.4</v>
      </c>
      <c r="F47" s="7" t="n">
        <f aca="false">E47*2</f>
        <v>66.8</v>
      </c>
      <c r="G47" s="7" t="n">
        <f aca="false">E47*3.125</f>
        <v>104.375</v>
      </c>
      <c r="H47" s="7" t="n">
        <f aca="false">E47*4.5</f>
        <v>150.3</v>
      </c>
      <c r="I47" s="7" t="n">
        <f aca="false">E47*9</f>
        <v>300.6</v>
      </c>
      <c r="J47" s="7" t="n">
        <f aca="false">E47*12</f>
        <v>400.8</v>
      </c>
    </row>
    <row r="48" customFormat="false" ht="15" hidden="false" customHeight="false" outlineLevel="0" collapsed="false">
      <c r="A48" s="9" t="s">
        <v>1425</v>
      </c>
      <c r="B48" s="9" t="s">
        <v>1421</v>
      </c>
      <c r="C48" s="9" t="s">
        <v>1387</v>
      </c>
      <c r="D48" s="10" t="n">
        <v>5</v>
      </c>
      <c r="E48" s="11" t="n">
        <v>41.25</v>
      </c>
      <c r="F48" s="12" t="n">
        <f aca="false">E48*2</f>
        <v>82.5</v>
      </c>
      <c r="G48" s="12" t="n">
        <f aca="false">E48*3.125</f>
        <v>128.90625</v>
      </c>
      <c r="H48" s="12" t="n">
        <f aca="false">E48*4.5</f>
        <v>185.625</v>
      </c>
      <c r="I48" s="12" t="n">
        <f aca="false">E48*9</f>
        <v>371.25</v>
      </c>
      <c r="J48" s="12" t="n">
        <f aca="false">E48*12</f>
        <v>495</v>
      </c>
    </row>
    <row r="49" customFormat="false" ht="15" hidden="false" customHeight="false" outlineLevel="0" collapsed="false">
      <c r="A49" s="4" t="s">
        <v>1426</v>
      </c>
      <c r="B49" s="4" t="s">
        <v>1421</v>
      </c>
      <c r="C49" s="4" t="s">
        <v>1389</v>
      </c>
      <c r="D49" s="5" t="n">
        <v>6</v>
      </c>
      <c r="E49" s="6" t="n">
        <v>49.1</v>
      </c>
      <c r="F49" s="7" t="n">
        <f aca="false">E49*2</f>
        <v>98.2</v>
      </c>
      <c r="G49" s="7" t="n">
        <f aca="false">E49*3.125</f>
        <v>153.4375</v>
      </c>
      <c r="H49" s="7" t="n">
        <f aca="false">E49*4.5</f>
        <v>220.95</v>
      </c>
      <c r="I49" s="7" t="n">
        <f aca="false">E49*9</f>
        <v>441.9</v>
      </c>
      <c r="J49" s="7" t="n">
        <f aca="false">E49*12</f>
        <v>589.2</v>
      </c>
    </row>
    <row r="50" customFormat="false" ht="15" hidden="false" customHeight="false" outlineLevel="0" collapsed="false">
      <c r="A50" s="9" t="s">
        <v>1427</v>
      </c>
      <c r="B50" s="9" t="s">
        <v>1421</v>
      </c>
      <c r="C50" s="9" t="s">
        <v>1391</v>
      </c>
      <c r="D50" s="10" t="n">
        <v>8</v>
      </c>
      <c r="E50" s="11" t="n">
        <v>64.8</v>
      </c>
      <c r="F50" s="12" t="n">
        <f aca="false">E50*2</f>
        <v>129.6</v>
      </c>
      <c r="G50" s="12" t="n">
        <f aca="false">E50*3.125</f>
        <v>202.5</v>
      </c>
      <c r="H50" s="12" t="n">
        <f aca="false">E50*4.5</f>
        <v>291.6</v>
      </c>
      <c r="I50" s="12" t="n">
        <f aca="false">E50*9</f>
        <v>583.2</v>
      </c>
      <c r="J50" s="12" t="n">
        <f aca="false">E50*12</f>
        <v>777.6</v>
      </c>
    </row>
    <row r="51" customFormat="false" ht="15" hidden="false" customHeight="false" outlineLevel="0" collapsed="false">
      <c r="A51" s="4" t="s">
        <v>1428</v>
      </c>
      <c r="B51" s="4" t="s">
        <v>1421</v>
      </c>
      <c r="C51" s="4" t="s">
        <v>1393</v>
      </c>
      <c r="D51" s="5" t="n">
        <v>10</v>
      </c>
      <c r="E51" s="6" t="n">
        <v>80.5</v>
      </c>
      <c r="F51" s="7" t="n">
        <f aca="false">E51*2</f>
        <v>161</v>
      </c>
      <c r="G51" s="7" t="n">
        <f aca="false">E51*3.125</f>
        <v>251.5625</v>
      </c>
      <c r="H51" s="7" t="n">
        <f aca="false">E51*4.5</f>
        <v>362.25</v>
      </c>
      <c r="I51" s="7" t="n">
        <f aca="false">E51*9</f>
        <v>724.5</v>
      </c>
      <c r="J51" s="7" t="n">
        <f aca="false">E51*12</f>
        <v>966</v>
      </c>
    </row>
  </sheetData>
  <autoFilter ref="A4:J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10" min="6" style="0" width="22"/>
  </cols>
  <sheetData>
    <row r="1" customFormat="false" ht="17.35" hidden="false" customHeight="false" outlineLevel="0" collapsed="false">
      <c r="A1" s="1" t="s">
        <v>1429</v>
      </c>
    </row>
    <row r="2" customFormat="false" ht="15" hidden="false" customHeight="false" outlineLevel="0" collapsed="false">
      <c r="A2" s="2" t="s">
        <v>1430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813</v>
      </c>
      <c r="E4" s="3" t="s">
        <v>1348</v>
      </c>
      <c r="F4" s="3" t="s">
        <v>1349</v>
      </c>
      <c r="G4" s="3" t="s">
        <v>1350</v>
      </c>
      <c r="H4" s="3" t="s">
        <v>1351</v>
      </c>
      <c r="I4" s="3" t="s">
        <v>1352</v>
      </c>
      <c r="J4" s="3" t="s">
        <v>1353</v>
      </c>
    </row>
    <row r="5" customFormat="false" ht="15" hidden="false" customHeight="false" outlineLevel="0" collapsed="false">
      <c r="A5" s="4" t="s">
        <v>1431</v>
      </c>
      <c r="B5" s="4" t="s">
        <v>1432</v>
      </c>
      <c r="C5" s="4" t="s">
        <v>1372</v>
      </c>
      <c r="D5" s="5" t="n">
        <v>1.5</v>
      </c>
      <c r="E5" s="6" t="n">
        <v>13.77</v>
      </c>
      <c r="F5" s="7" t="n">
        <f aca="false">E5*2</f>
        <v>27.54</v>
      </c>
      <c r="G5" s="7" t="n">
        <f aca="false">E5*3.125</f>
        <v>43.03125</v>
      </c>
      <c r="H5" s="7" t="n">
        <f aca="false">E5*4.5</f>
        <v>61.965</v>
      </c>
      <c r="I5" s="7" t="n">
        <f aca="false">E5*9</f>
        <v>123.93</v>
      </c>
      <c r="J5" s="7" t="n">
        <f aca="false">E5*12</f>
        <v>165.24</v>
      </c>
    </row>
    <row r="6" customFormat="false" ht="15" hidden="false" customHeight="false" outlineLevel="0" collapsed="false">
      <c r="A6" s="9" t="s">
        <v>1433</v>
      </c>
      <c r="B6" s="9" t="s">
        <v>1432</v>
      </c>
      <c r="C6" s="9" t="s">
        <v>1374</v>
      </c>
      <c r="D6" s="10" t="n">
        <v>2</v>
      </c>
      <c r="E6" s="11" t="n">
        <v>17.7</v>
      </c>
      <c r="F6" s="12" t="n">
        <f aca="false">E6*2</f>
        <v>35.4</v>
      </c>
      <c r="G6" s="12" t="n">
        <f aca="false">E6*3.125</f>
        <v>55.3125</v>
      </c>
      <c r="H6" s="12" t="n">
        <f aca="false">E6*4.5</f>
        <v>79.65</v>
      </c>
      <c r="I6" s="12" t="n">
        <f aca="false">E6*9</f>
        <v>159.3</v>
      </c>
      <c r="J6" s="12" t="n">
        <f aca="false">E6*12</f>
        <v>212.4</v>
      </c>
    </row>
    <row r="7" customFormat="false" ht="15" hidden="false" customHeight="false" outlineLevel="0" collapsed="false">
      <c r="A7" s="4" t="s">
        <v>1434</v>
      </c>
      <c r="B7" s="4" t="s">
        <v>1432</v>
      </c>
      <c r="C7" s="4" t="s">
        <v>1376</v>
      </c>
      <c r="D7" s="5" t="n">
        <v>2.5</v>
      </c>
      <c r="E7" s="6" t="n">
        <v>21.62</v>
      </c>
      <c r="F7" s="7" t="n">
        <f aca="false">E7*2</f>
        <v>43.24</v>
      </c>
      <c r="G7" s="7" t="n">
        <f aca="false">E7*3.125</f>
        <v>67.5625</v>
      </c>
      <c r="H7" s="7" t="n">
        <f aca="false">E7*4.5</f>
        <v>97.29</v>
      </c>
      <c r="I7" s="7" t="n">
        <f aca="false">E7*9</f>
        <v>194.58</v>
      </c>
      <c r="J7" s="7" t="n">
        <f aca="false">E7*12</f>
        <v>259.44</v>
      </c>
    </row>
    <row r="8" customFormat="false" ht="15" hidden="false" customHeight="false" outlineLevel="0" collapsed="false">
      <c r="A8" s="9" t="s">
        <v>1435</v>
      </c>
      <c r="B8" s="9" t="s">
        <v>1432</v>
      </c>
      <c r="C8" s="9" t="s">
        <v>1378</v>
      </c>
      <c r="D8" s="10" t="n">
        <v>3</v>
      </c>
      <c r="E8" s="11" t="n">
        <v>25.55</v>
      </c>
      <c r="F8" s="12" t="n">
        <f aca="false">E8*2</f>
        <v>51.1</v>
      </c>
      <c r="G8" s="12" t="n">
        <f aca="false">E8*3.125</f>
        <v>79.84375</v>
      </c>
      <c r="H8" s="12" t="n">
        <f aca="false">E8*4.5</f>
        <v>114.975</v>
      </c>
      <c r="I8" s="12" t="n">
        <f aca="false">E8*9</f>
        <v>229.95</v>
      </c>
      <c r="J8" s="12" t="n">
        <f aca="false">E8*12</f>
        <v>306.6</v>
      </c>
    </row>
    <row r="9" customFormat="false" ht="15" hidden="false" customHeight="false" outlineLevel="0" collapsed="false">
      <c r="A9" s="4" t="s">
        <v>1436</v>
      </c>
      <c r="B9" s="4" t="s">
        <v>1432</v>
      </c>
      <c r="C9" s="4" t="s">
        <v>1385</v>
      </c>
      <c r="D9" s="5" t="n">
        <v>4</v>
      </c>
      <c r="E9" s="6" t="n">
        <v>33.4</v>
      </c>
      <c r="F9" s="7" t="n">
        <f aca="false">E9*2</f>
        <v>66.8</v>
      </c>
      <c r="G9" s="7" t="n">
        <f aca="false">E9*3.125</f>
        <v>104.375</v>
      </c>
      <c r="H9" s="7" t="n">
        <f aca="false">E9*4.5</f>
        <v>150.3</v>
      </c>
      <c r="I9" s="7" t="n">
        <f aca="false">E9*9</f>
        <v>300.6</v>
      </c>
      <c r="J9" s="7" t="n">
        <f aca="false">E9*12</f>
        <v>400.8</v>
      </c>
    </row>
    <row r="10" customFormat="false" ht="15" hidden="false" customHeight="false" outlineLevel="0" collapsed="false">
      <c r="A10" s="9" t="s">
        <v>1437</v>
      </c>
      <c r="B10" s="9" t="s">
        <v>1432</v>
      </c>
      <c r="C10" s="9" t="s">
        <v>1387</v>
      </c>
      <c r="D10" s="10" t="n">
        <v>5</v>
      </c>
      <c r="E10" s="11" t="n">
        <v>41.25</v>
      </c>
      <c r="F10" s="12" t="n">
        <f aca="false">E10*2</f>
        <v>82.5</v>
      </c>
      <c r="G10" s="12" t="n">
        <f aca="false">E10*3.125</f>
        <v>128.90625</v>
      </c>
      <c r="H10" s="12" t="n">
        <f aca="false">E10*4.5</f>
        <v>185.625</v>
      </c>
      <c r="I10" s="12" t="n">
        <f aca="false">E10*9</f>
        <v>371.25</v>
      </c>
      <c r="J10" s="12" t="n">
        <f aca="false">E10*12</f>
        <v>495</v>
      </c>
    </row>
    <row r="11" customFormat="false" ht="15" hidden="false" customHeight="false" outlineLevel="0" collapsed="false">
      <c r="A11" s="4" t="s">
        <v>1438</v>
      </c>
      <c r="B11" s="4" t="s">
        <v>1432</v>
      </c>
      <c r="C11" s="4" t="s">
        <v>1389</v>
      </c>
      <c r="D11" s="5" t="n">
        <v>6</v>
      </c>
      <c r="E11" s="6" t="n">
        <v>49.1</v>
      </c>
      <c r="F11" s="7" t="n">
        <f aca="false">E11*2</f>
        <v>98.2</v>
      </c>
      <c r="G11" s="7" t="n">
        <f aca="false">E11*3.125</f>
        <v>153.4375</v>
      </c>
      <c r="H11" s="7" t="n">
        <f aca="false">E11*4.5</f>
        <v>220.95</v>
      </c>
      <c r="I11" s="7" t="n">
        <f aca="false">E11*9</f>
        <v>441.9</v>
      </c>
      <c r="J11" s="7" t="n">
        <f aca="false">E11*12</f>
        <v>589.2</v>
      </c>
    </row>
    <row r="12" customFormat="false" ht="15" hidden="false" customHeight="false" outlineLevel="0" collapsed="false">
      <c r="A12" s="9" t="s">
        <v>1439</v>
      </c>
      <c r="B12" s="9" t="s">
        <v>1432</v>
      </c>
      <c r="C12" s="9" t="s">
        <v>1391</v>
      </c>
      <c r="D12" s="10" t="n">
        <v>8</v>
      </c>
      <c r="E12" s="11" t="n">
        <v>64.8</v>
      </c>
      <c r="F12" s="12" t="n">
        <f aca="false">E12*2</f>
        <v>129.6</v>
      </c>
      <c r="G12" s="12" t="n">
        <f aca="false">E12*3.125</f>
        <v>202.5</v>
      </c>
      <c r="H12" s="12" t="n">
        <f aca="false">E12*4.5</f>
        <v>291.6</v>
      </c>
      <c r="I12" s="12" t="n">
        <f aca="false">E12*9</f>
        <v>583.2</v>
      </c>
      <c r="J12" s="12" t="n">
        <f aca="false">E12*12</f>
        <v>777.6</v>
      </c>
    </row>
    <row r="13" customFormat="false" ht="15" hidden="false" customHeight="false" outlineLevel="0" collapsed="false">
      <c r="A13" s="4" t="s">
        <v>1440</v>
      </c>
      <c r="B13" s="4" t="s">
        <v>1432</v>
      </c>
      <c r="C13" s="4" t="s">
        <v>1393</v>
      </c>
      <c r="D13" s="5" t="n">
        <v>10</v>
      </c>
      <c r="E13" s="6" t="n">
        <v>80.5</v>
      </c>
      <c r="F13" s="7" t="n">
        <f aca="false">E13*2</f>
        <v>161</v>
      </c>
      <c r="G13" s="7" t="n">
        <f aca="false">E13*3.125</f>
        <v>251.5625</v>
      </c>
      <c r="H13" s="7" t="n">
        <f aca="false">E13*4.5</f>
        <v>362.25</v>
      </c>
      <c r="I13" s="7" t="n">
        <f aca="false">E13*9</f>
        <v>724.5</v>
      </c>
      <c r="J13" s="7" t="n">
        <f aca="false">E13*12</f>
        <v>966</v>
      </c>
    </row>
    <row r="14" customFormat="false" ht="15" hidden="false" customHeight="false" outlineLevel="0" collapsed="false">
      <c r="A14" s="9" t="s">
        <v>1441</v>
      </c>
      <c r="B14" s="9" t="s">
        <v>1442</v>
      </c>
      <c r="C14" s="9" t="s">
        <v>1443</v>
      </c>
      <c r="D14" s="10" t="n">
        <v>1.5</v>
      </c>
      <c r="E14" s="11" t="n">
        <v>5.06</v>
      </c>
      <c r="F14" s="12" t="n">
        <f aca="false">E14*2</f>
        <v>10.12</v>
      </c>
      <c r="G14" s="12" t="n">
        <f aca="false">E14*3.125</f>
        <v>15.8125</v>
      </c>
      <c r="H14" s="12" t="n">
        <f aca="false">E14*4.5</f>
        <v>22.77</v>
      </c>
      <c r="I14" s="12" t="n">
        <f aca="false">E14*9</f>
        <v>45.54</v>
      </c>
      <c r="J14" s="12" t="n">
        <f aca="false">E14*12</f>
        <v>60.72</v>
      </c>
    </row>
    <row r="15" customFormat="false" ht="15" hidden="false" customHeight="false" outlineLevel="0" collapsed="false">
      <c r="A15" s="4" t="s">
        <v>1444</v>
      </c>
      <c r="B15" s="4" t="s">
        <v>1442</v>
      </c>
      <c r="C15" s="4" t="s">
        <v>1445</v>
      </c>
      <c r="D15" s="5" t="n">
        <v>2</v>
      </c>
      <c r="E15" s="6" t="n">
        <v>6.42</v>
      </c>
      <c r="F15" s="7" t="n">
        <f aca="false">E15*2</f>
        <v>12.84</v>
      </c>
      <c r="G15" s="7" t="n">
        <f aca="false">E15*3.125</f>
        <v>20.0625</v>
      </c>
      <c r="H15" s="7" t="n">
        <f aca="false">E15*4.5</f>
        <v>28.89</v>
      </c>
      <c r="I15" s="7" t="n">
        <f aca="false">E15*9</f>
        <v>57.78</v>
      </c>
      <c r="J15" s="7" t="n">
        <f aca="false">E15*12</f>
        <v>77.04</v>
      </c>
    </row>
    <row r="16" customFormat="false" ht="15" hidden="false" customHeight="false" outlineLevel="0" collapsed="false">
      <c r="A16" s="9" t="s">
        <v>1446</v>
      </c>
      <c r="B16" s="9" t="s">
        <v>1442</v>
      </c>
      <c r="C16" s="9" t="s">
        <v>1447</v>
      </c>
      <c r="D16" s="10" t="n">
        <v>2.5</v>
      </c>
      <c r="E16" s="11" t="n">
        <v>7.78</v>
      </c>
      <c r="F16" s="12" t="n">
        <f aca="false">E16*2</f>
        <v>15.56</v>
      </c>
      <c r="G16" s="12" t="n">
        <f aca="false">E16*3.125</f>
        <v>24.3125</v>
      </c>
      <c r="H16" s="12" t="n">
        <f aca="false">E16*4.5</f>
        <v>35.01</v>
      </c>
      <c r="I16" s="12" t="n">
        <f aca="false">E16*9</f>
        <v>70.02</v>
      </c>
      <c r="J16" s="12" t="n">
        <f aca="false">E16*12</f>
        <v>93.36</v>
      </c>
    </row>
    <row r="17" customFormat="false" ht="15" hidden="false" customHeight="false" outlineLevel="0" collapsed="false">
      <c r="A17" s="4" t="s">
        <v>1448</v>
      </c>
      <c r="B17" s="4" t="s">
        <v>1442</v>
      </c>
      <c r="C17" s="4" t="s">
        <v>1449</v>
      </c>
      <c r="D17" s="5" t="n">
        <v>3</v>
      </c>
      <c r="E17" s="6" t="n">
        <v>9.13</v>
      </c>
      <c r="F17" s="7" t="n">
        <f aca="false">E17*2</f>
        <v>18.26</v>
      </c>
      <c r="G17" s="7" t="n">
        <f aca="false">E17*3.125</f>
        <v>28.53125</v>
      </c>
      <c r="H17" s="7" t="n">
        <f aca="false">E17*4.5</f>
        <v>41.085</v>
      </c>
      <c r="I17" s="7" t="n">
        <f aca="false">E17*9</f>
        <v>82.17</v>
      </c>
      <c r="J17" s="7" t="n">
        <f aca="false">E17*12</f>
        <v>109.56</v>
      </c>
    </row>
    <row r="18" customFormat="false" ht="15" hidden="false" customHeight="false" outlineLevel="0" collapsed="false">
      <c r="A18" s="9" t="s">
        <v>1450</v>
      </c>
      <c r="B18" s="9" t="s">
        <v>1442</v>
      </c>
      <c r="C18" s="9" t="s">
        <v>1451</v>
      </c>
      <c r="D18" s="10" t="n">
        <v>4</v>
      </c>
      <c r="E18" s="11" t="n">
        <v>11.84</v>
      </c>
      <c r="F18" s="12" t="n">
        <f aca="false">E18*2</f>
        <v>23.68</v>
      </c>
      <c r="G18" s="12" t="n">
        <f aca="false">E18*3.125</f>
        <v>37</v>
      </c>
      <c r="H18" s="12" t="n">
        <f aca="false">E18*4.5</f>
        <v>53.28</v>
      </c>
      <c r="I18" s="12" t="n">
        <f aca="false">E18*9</f>
        <v>106.56</v>
      </c>
      <c r="J18" s="12" t="n">
        <f aca="false">E18*12</f>
        <v>142.08</v>
      </c>
    </row>
    <row r="19" customFormat="false" ht="15" hidden="false" customHeight="false" outlineLevel="0" collapsed="false">
      <c r="A19" s="4" t="s">
        <v>1452</v>
      </c>
      <c r="B19" s="4" t="s">
        <v>1442</v>
      </c>
      <c r="C19" s="4" t="s">
        <v>1453</v>
      </c>
      <c r="D19" s="5" t="n">
        <v>5</v>
      </c>
      <c r="E19" s="6" t="n">
        <v>14.55</v>
      </c>
      <c r="F19" s="7" t="n">
        <f aca="false">E19*2</f>
        <v>29.1</v>
      </c>
      <c r="G19" s="7" t="n">
        <f aca="false">E19*3.125</f>
        <v>45.46875</v>
      </c>
      <c r="H19" s="7" t="n">
        <f aca="false">E19*4.5</f>
        <v>65.475</v>
      </c>
      <c r="I19" s="7" t="n">
        <f aca="false">E19*9</f>
        <v>130.95</v>
      </c>
      <c r="J19" s="7" t="n">
        <f aca="false">E19*12</f>
        <v>174.6</v>
      </c>
    </row>
    <row r="20" customFormat="false" ht="15" hidden="false" customHeight="false" outlineLevel="0" collapsed="false">
      <c r="A20" s="9" t="s">
        <v>1454</v>
      </c>
      <c r="B20" s="9" t="s">
        <v>1442</v>
      </c>
      <c r="C20" s="9" t="s">
        <v>1455</v>
      </c>
      <c r="D20" s="10" t="n">
        <v>6</v>
      </c>
      <c r="E20" s="11" t="n">
        <v>17.26</v>
      </c>
      <c r="F20" s="12" t="n">
        <f aca="false">E20*2</f>
        <v>34.52</v>
      </c>
      <c r="G20" s="12" t="n">
        <f aca="false">E20*3.125</f>
        <v>53.9375</v>
      </c>
      <c r="H20" s="12" t="n">
        <f aca="false">E20*4.5</f>
        <v>77.67</v>
      </c>
      <c r="I20" s="12" t="n">
        <f aca="false">E20*9</f>
        <v>155.34</v>
      </c>
      <c r="J20" s="12" t="n">
        <f aca="false">E20*12</f>
        <v>207.12</v>
      </c>
    </row>
    <row r="21" customFormat="false" ht="15" hidden="false" customHeight="false" outlineLevel="0" collapsed="false">
      <c r="A21" s="4" t="s">
        <v>1456</v>
      </c>
      <c r="B21" s="4" t="s">
        <v>1457</v>
      </c>
      <c r="C21" s="4" t="s">
        <v>1372</v>
      </c>
      <c r="D21" s="5" t="n">
        <v>1.5</v>
      </c>
      <c r="E21" s="6" t="n">
        <v>13.7</v>
      </c>
      <c r="F21" s="7" t="n">
        <f aca="false">E21*2</f>
        <v>27.4</v>
      </c>
      <c r="G21" s="7" t="n">
        <f aca="false">E21*3.125</f>
        <v>42.8125</v>
      </c>
      <c r="H21" s="7" t="n">
        <f aca="false">E21*4.5</f>
        <v>61.65</v>
      </c>
      <c r="I21" s="7" t="n">
        <f aca="false">E21*9</f>
        <v>123.3</v>
      </c>
      <c r="J21" s="7" t="n">
        <f aca="false">E21*12</f>
        <v>164.4</v>
      </c>
    </row>
    <row r="22" customFormat="false" ht="15" hidden="false" customHeight="false" outlineLevel="0" collapsed="false">
      <c r="A22" s="9" t="s">
        <v>1458</v>
      </c>
      <c r="B22" s="9" t="s">
        <v>1457</v>
      </c>
      <c r="C22" s="9" t="s">
        <v>1374</v>
      </c>
      <c r="D22" s="10" t="n">
        <v>2</v>
      </c>
      <c r="E22" s="11" t="n">
        <v>17.66</v>
      </c>
      <c r="F22" s="12" t="n">
        <f aca="false">E22*2</f>
        <v>35.32</v>
      </c>
      <c r="G22" s="12" t="n">
        <f aca="false">E22*3.125</f>
        <v>55.1875</v>
      </c>
      <c r="H22" s="12" t="n">
        <f aca="false">E22*4.5</f>
        <v>79.47</v>
      </c>
      <c r="I22" s="12" t="n">
        <f aca="false">E22*9</f>
        <v>158.94</v>
      </c>
      <c r="J22" s="12" t="n">
        <f aca="false">E22*12</f>
        <v>211.92</v>
      </c>
    </row>
    <row r="23" customFormat="false" ht="15" hidden="false" customHeight="false" outlineLevel="0" collapsed="false">
      <c r="A23" s="4" t="s">
        <v>1459</v>
      </c>
      <c r="B23" s="4" t="s">
        <v>1457</v>
      </c>
      <c r="C23" s="4" t="s">
        <v>1376</v>
      </c>
      <c r="D23" s="5" t="n">
        <v>2.5</v>
      </c>
      <c r="E23" s="6" t="n">
        <v>21.62</v>
      </c>
      <c r="F23" s="7" t="n">
        <f aca="false">E23*2</f>
        <v>43.24</v>
      </c>
      <c r="G23" s="7" t="n">
        <f aca="false">E23*3.125</f>
        <v>67.5625</v>
      </c>
      <c r="H23" s="7" t="n">
        <f aca="false">E23*4.5</f>
        <v>97.29</v>
      </c>
      <c r="I23" s="7" t="n">
        <f aca="false">E23*9</f>
        <v>194.58</v>
      </c>
      <c r="J23" s="7" t="n">
        <f aca="false">E23*12</f>
        <v>259.44</v>
      </c>
    </row>
    <row r="24" customFormat="false" ht="15" hidden="false" customHeight="false" outlineLevel="0" collapsed="false">
      <c r="A24" s="9" t="s">
        <v>1460</v>
      </c>
      <c r="B24" s="9" t="s">
        <v>1457</v>
      </c>
      <c r="C24" s="9" t="s">
        <v>1378</v>
      </c>
      <c r="D24" s="10" t="n">
        <v>3</v>
      </c>
      <c r="E24" s="11" t="n">
        <v>25.59</v>
      </c>
      <c r="F24" s="12" t="n">
        <f aca="false">E24*2</f>
        <v>51.18</v>
      </c>
      <c r="G24" s="12" t="n">
        <f aca="false">E24*3.125</f>
        <v>79.96875</v>
      </c>
      <c r="H24" s="12" t="n">
        <f aca="false">E24*4.5</f>
        <v>115.155</v>
      </c>
      <c r="I24" s="12" t="n">
        <f aca="false">E24*9</f>
        <v>230.31</v>
      </c>
      <c r="J24" s="12" t="n">
        <f aca="false">E24*12</f>
        <v>307.08</v>
      </c>
    </row>
    <row r="25" customFormat="false" ht="15" hidden="false" customHeight="false" outlineLevel="0" collapsed="false">
      <c r="A25" s="4" t="s">
        <v>1461</v>
      </c>
      <c r="B25" s="4" t="s">
        <v>1457</v>
      </c>
      <c r="C25" s="4" t="s">
        <v>1385</v>
      </c>
      <c r="D25" s="5" t="n">
        <v>4</v>
      </c>
      <c r="E25" s="6" t="n">
        <v>33.52</v>
      </c>
      <c r="F25" s="7" t="n">
        <f aca="false">E25*2</f>
        <v>67.04</v>
      </c>
      <c r="G25" s="7" t="n">
        <f aca="false">E25*3.125</f>
        <v>104.75</v>
      </c>
      <c r="H25" s="7" t="n">
        <f aca="false">E25*4.5</f>
        <v>150.84</v>
      </c>
      <c r="I25" s="7" t="n">
        <f aca="false">E25*9</f>
        <v>301.68</v>
      </c>
      <c r="J25" s="7" t="n">
        <f aca="false">E25*12</f>
        <v>402.24</v>
      </c>
    </row>
    <row r="26" customFormat="false" ht="15" hidden="false" customHeight="false" outlineLevel="0" collapsed="false">
      <c r="A26" s="9" t="s">
        <v>1462</v>
      </c>
      <c r="B26" s="9" t="s">
        <v>1457</v>
      </c>
      <c r="C26" s="9" t="s">
        <v>1387</v>
      </c>
      <c r="D26" s="10" t="n">
        <v>5</v>
      </c>
      <c r="E26" s="11" t="n">
        <v>41.45</v>
      </c>
      <c r="F26" s="12" t="n">
        <f aca="false">E26*2</f>
        <v>82.9</v>
      </c>
      <c r="G26" s="12" t="n">
        <f aca="false">E26*3.125</f>
        <v>129.53125</v>
      </c>
      <c r="H26" s="12" t="n">
        <f aca="false">E26*4.5</f>
        <v>186.525</v>
      </c>
      <c r="I26" s="12" t="n">
        <f aca="false">E26*9</f>
        <v>373.05</v>
      </c>
      <c r="J26" s="12" t="n">
        <f aca="false">E26*12</f>
        <v>497.4</v>
      </c>
    </row>
    <row r="27" customFormat="false" ht="15" hidden="false" customHeight="false" outlineLevel="0" collapsed="false">
      <c r="A27" s="4" t="s">
        <v>1463</v>
      </c>
      <c r="B27" s="4" t="s">
        <v>1457</v>
      </c>
      <c r="C27" s="4" t="s">
        <v>1389</v>
      </c>
      <c r="D27" s="5" t="n">
        <v>6</v>
      </c>
      <c r="E27" s="6" t="n">
        <v>49.38</v>
      </c>
      <c r="F27" s="7" t="n">
        <f aca="false">E27*2</f>
        <v>98.76</v>
      </c>
      <c r="G27" s="7" t="n">
        <f aca="false">E27*3.125</f>
        <v>154.3125</v>
      </c>
      <c r="H27" s="7" t="n">
        <f aca="false">E27*4.5</f>
        <v>222.21</v>
      </c>
      <c r="I27" s="7" t="n">
        <f aca="false">E27*9</f>
        <v>444.42</v>
      </c>
      <c r="J27" s="7" t="n">
        <f aca="false">E27*12</f>
        <v>592.56</v>
      </c>
    </row>
  </sheetData>
  <autoFilter ref="A4:J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10" min="8" style="0" width="22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1464</v>
      </c>
    </row>
    <row r="2" customFormat="false" ht="15" hidden="false" customHeight="false" outlineLevel="0" collapsed="false">
      <c r="A2" s="2" t="s">
        <v>1465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813</v>
      </c>
      <c r="E4" s="3" t="s">
        <v>6</v>
      </c>
      <c r="F4" s="3" t="s">
        <v>7</v>
      </c>
      <c r="G4" s="3" t="s">
        <v>8</v>
      </c>
      <c r="H4" s="3" t="s">
        <v>1466</v>
      </c>
      <c r="I4" s="3" t="s">
        <v>1467</v>
      </c>
      <c r="J4" s="3" t="s">
        <v>1468</v>
      </c>
      <c r="K4" s="3" t="s">
        <v>1469</v>
      </c>
      <c r="L4" s="3" t="s">
        <v>1470</v>
      </c>
    </row>
    <row r="5" customFormat="false" ht="15" hidden="false" customHeight="false" outlineLevel="0" collapsed="false">
      <c r="A5" s="4" t="s">
        <v>1471</v>
      </c>
      <c r="B5" s="4" t="s">
        <v>1472</v>
      </c>
      <c r="C5" s="4" t="s">
        <v>1473</v>
      </c>
      <c r="D5" s="5" t="n">
        <v>0.4</v>
      </c>
      <c r="E5" s="6" t="n">
        <v>4.27</v>
      </c>
      <c r="F5" s="7" t="n">
        <f aca="false">E5*6</f>
        <v>25.62</v>
      </c>
      <c r="G5" s="7" t="n">
        <f aca="false">E5*12</f>
        <v>51.24</v>
      </c>
      <c r="H5" s="6" t="n">
        <v>3.88</v>
      </c>
      <c r="I5" s="18" t="n">
        <v>1100</v>
      </c>
      <c r="J5" s="18" t="n">
        <v>1250</v>
      </c>
      <c r="K5" s="18" t="n">
        <v>20</v>
      </c>
      <c r="L5" s="7" t="n">
        <v>137.5</v>
      </c>
    </row>
    <row r="6" customFormat="false" ht="15" hidden="false" customHeight="false" outlineLevel="0" collapsed="false">
      <c r="A6" s="9" t="s">
        <v>1474</v>
      </c>
      <c r="B6" s="9" t="s">
        <v>1472</v>
      </c>
      <c r="C6" s="9" t="s">
        <v>1473</v>
      </c>
      <c r="D6" s="10" t="n">
        <v>0.45</v>
      </c>
      <c r="E6" s="11" t="n">
        <v>4.76</v>
      </c>
      <c r="F6" s="12" t="n">
        <f aca="false">E6*6</f>
        <v>28.56</v>
      </c>
      <c r="G6" s="12" t="n">
        <f aca="false">E6*12</f>
        <v>57.12</v>
      </c>
      <c r="H6" s="11" t="n">
        <v>4.33</v>
      </c>
      <c r="I6" s="19" t="n">
        <v>1100</v>
      </c>
      <c r="J6" s="19" t="n">
        <v>1250</v>
      </c>
      <c r="K6" s="19" t="n">
        <v>20</v>
      </c>
      <c r="L6" s="12" t="n">
        <v>137.5</v>
      </c>
    </row>
    <row r="7" customFormat="false" ht="15" hidden="false" customHeight="false" outlineLevel="0" collapsed="false">
      <c r="A7" s="4" t="s">
        <v>1475</v>
      </c>
      <c r="B7" s="4" t="s">
        <v>1472</v>
      </c>
      <c r="C7" s="4" t="s">
        <v>1473</v>
      </c>
      <c r="D7" s="5" t="n">
        <v>0.5</v>
      </c>
      <c r="E7" s="6" t="n">
        <v>5.25</v>
      </c>
      <c r="F7" s="7" t="n">
        <f aca="false">E7*6</f>
        <v>31.5</v>
      </c>
      <c r="G7" s="7" t="n">
        <f aca="false">E7*12</f>
        <v>63</v>
      </c>
      <c r="H7" s="6" t="n">
        <v>4.77</v>
      </c>
      <c r="I7" s="18" t="n">
        <v>1100</v>
      </c>
      <c r="J7" s="18" t="n">
        <v>1250</v>
      </c>
      <c r="K7" s="18" t="n">
        <v>20</v>
      </c>
      <c r="L7" s="7" t="n">
        <v>137.5</v>
      </c>
    </row>
    <row r="8" customFormat="false" ht="15" hidden="false" customHeight="false" outlineLevel="0" collapsed="false">
      <c r="A8" s="9" t="s">
        <v>1476</v>
      </c>
      <c r="B8" s="9" t="s">
        <v>1472</v>
      </c>
      <c r="C8" s="9" t="s">
        <v>1473</v>
      </c>
      <c r="D8" s="10" t="n">
        <v>0.6</v>
      </c>
      <c r="E8" s="11" t="n">
        <v>6.23</v>
      </c>
      <c r="F8" s="12" t="n">
        <f aca="false">E8*6</f>
        <v>37.38</v>
      </c>
      <c r="G8" s="12" t="n">
        <f aca="false">E8*12</f>
        <v>74.76</v>
      </c>
      <c r="H8" s="11" t="n">
        <v>5.66</v>
      </c>
      <c r="I8" s="19" t="n">
        <v>1100</v>
      </c>
      <c r="J8" s="19" t="n">
        <v>1250</v>
      </c>
      <c r="K8" s="19" t="n">
        <v>20</v>
      </c>
      <c r="L8" s="12" t="n">
        <v>137.5</v>
      </c>
    </row>
    <row r="9" customFormat="false" ht="15" hidden="false" customHeight="false" outlineLevel="0" collapsed="false">
      <c r="A9" s="4" t="s">
        <v>1477</v>
      </c>
      <c r="B9" s="4" t="s">
        <v>1472</v>
      </c>
      <c r="C9" s="4" t="s">
        <v>1473</v>
      </c>
      <c r="D9" s="5" t="n">
        <v>0.7</v>
      </c>
      <c r="E9" s="6" t="n">
        <v>7.21</v>
      </c>
      <c r="F9" s="7" t="n">
        <f aca="false">E9*6</f>
        <v>43.26</v>
      </c>
      <c r="G9" s="7" t="n">
        <f aca="false">E9*12</f>
        <v>86.52</v>
      </c>
      <c r="H9" s="6" t="n">
        <v>6.56</v>
      </c>
      <c r="I9" s="18" t="n">
        <v>1100</v>
      </c>
      <c r="J9" s="18" t="n">
        <v>1250</v>
      </c>
      <c r="K9" s="18" t="n">
        <v>20</v>
      </c>
      <c r="L9" s="7" t="n">
        <v>137.5</v>
      </c>
    </row>
    <row r="10" customFormat="false" ht="15" hidden="false" customHeight="false" outlineLevel="0" collapsed="false">
      <c r="A10" s="9" t="s">
        <v>1478</v>
      </c>
      <c r="B10" s="9" t="s">
        <v>1472</v>
      </c>
      <c r="C10" s="9" t="s">
        <v>1473</v>
      </c>
      <c r="D10" s="10" t="n">
        <v>0.8</v>
      </c>
      <c r="E10" s="11" t="n">
        <v>8.19</v>
      </c>
      <c r="F10" s="12" t="n">
        <f aca="false">E10*6</f>
        <v>49.14</v>
      </c>
      <c r="G10" s="12" t="n">
        <f aca="false">E10*12</f>
        <v>98.28</v>
      </c>
      <c r="H10" s="11" t="n">
        <v>7.45</v>
      </c>
      <c r="I10" s="19" t="n">
        <v>1100</v>
      </c>
      <c r="J10" s="19" t="n">
        <v>1250</v>
      </c>
      <c r="K10" s="19" t="n">
        <v>20</v>
      </c>
      <c r="L10" s="12" t="n">
        <v>137.5</v>
      </c>
    </row>
    <row r="11" customFormat="false" ht="15" hidden="false" customHeight="false" outlineLevel="0" collapsed="false">
      <c r="A11" s="4" t="s">
        <v>1479</v>
      </c>
      <c r="B11" s="4" t="s">
        <v>1472</v>
      </c>
      <c r="C11" s="4" t="s">
        <v>1480</v>
      </c>
      <c r="D11" s="5" t="n">
        <v>0.4</v>
      </c>
      <c r="E11" s="6" t="n">
        <v>4.27</v>
      </c>
      <c r="F11" s="7" t="n">
        <f aca="false">E11*6</f>
        <v>25.62</v>
      </c>
      <c r="G11" s="7" t="n">
        <f aca="false">E11*12</f>
        <v>51.24</v>
      </c>
      <c r="H11" s="6" t="n">
        <v>4.27</v>
      </c>
      <c r="I11" s="18" t="n">
        <v>1000</v>
      </c>
      <c r="J11" s="18" t="n">
        <v>1250</v>
      </c>
      <c r="K11" s="18" t="n">
        <v>27</v>
      </c>
      <c r="L11" s="7" t="n">
        <v>200</v>
      </c>
    </row>
    <row r="12" customFormat="false" ht="15" hidden="false" customHeight="false" outlineLevel="0" collapsed="false">
      <c r="A12" s="9" t="s">
        <v>1481</v>
      </c>
      <c r="B12" s="9" t="s">
        <v>1472</v>
      </c>
      <c r="C12" s="9" t="s">
        <v>1480</v>
      </c>
      <c r="D12" s="10" t="n">
        <v>0.45</v>
      </c>
      <c r="E12" s="11" t="n">
        <v>4.76</v>
      </c>
      <c r="F12" s="12" t="n">
        <f aca="false">E12*6</f>
        <v>28.56</v>
      </c>
      <c r="G12" s="12" t="n">
        <f aca="false">E12*12</f>
        <v>57.12</v>
      </c>
      <c r="H12" s="11" t="n">
        <v>4.76</v>
      </c>
      <c r="I12" s="19" t="n">
        <v>1000</v>
      </c>
      <c r="J12" s="19" t="n">
        <v>1250</v>
      </c>
      <c r="K12" s="19" t="n">
        <v>27</v>
      </c>
      <c r="L12" s="12" t="n">
        <v>200</v>
      </c>
    </row>
    <row r="13" customFormat="false" ht="15" hidden="false" customHeight="false" outlineLevel="0" collapsed="false">
      <c r="A13" s="4" t="s">
        <v>1482</v>
      </c>
      <c r="B13" s="4" t="s">
        <v>1472</v>
      </c>
      <c r="C13" s="4" t="s">
        <v>1480</v>
      </c>
      <c r="D13" s="5" t="n">
        <v>0.5</v>
      </c>
      <c r="E13" s="6" t="n">
        <v>5.25</v>
      </c>
      <c r="F13" s="7" t="n">
        <f aca="false">E13*6</f>
        <v>31.5</v>
      </c>
      <c r="G13" s="7" t="n">
        <f aca="false">E13*12</f>
        <v>63</v>
      </c>
      <c r="H13" s="6" t="n">
        <v>5.25</v>
      </c>
      <c r="I13" s="18" t="n">
        <v>1000</v>
      </c>
      <c r="J13" s="18" t="n">
        <v>1250</v>
      </c>
      <c r="K13" s="18" t="n">
        <v>27</v>
      </c>
      <c r="L13" s="7" t="n">
        <v>200</v>
      </c>
    </row>
    <row r="14" customFormat="false" ht="15" hidden="false" customHeight="false" outlineLevel="0" collapsed="false">
      <c r="A14" s="9" t="s">
        <v>1483</v>
      </c>
      <c r="B14" s="9" t="s">
        <v>1472</v>
      </c>
      <c r="C14" s="9" t="s">
        <v>1480</v>
      </c>
      <c r="D14" s="10" t="n">
        <v>0.6</v>
      </c>
      <c r="E14" s="11" t="n">
        <v>6.23</v>
      </c>
      <c r="F14" s="12" t="n">
        <f aca="false">E14*6</f>
        <v>37.38</v>
      </c>
      <c r="G14" s="12" t="n">
        <f aca="false">E14*12</f>
        <v>74.76</v>
      </c>
      <c r="H14" s="11" t="n">
        <v>6.23</v>
      </c>
      <c r="I14" s="19" t="n">
        <v>1000</v>
      </c>
      <c r="J14" s="19" t="n">
        <v>1250</v>
      </c>
      <c r="K14" s="19" t="n">
        <v>27</v>
      </c>
      <c r="L14" s="12" t="n">
        <v>200</v>
      </c>
    </row>
    <row r="15" customFormat="false" ht="15" hidden="false" customHeight="false" outlineLevel="0" collapsed="false">
      <c r="A15" s="4" t="s">
        <v>1484</v>
      </c>
      <c r="B15" s="4" t="s">
        <v>1472</v>
      </c>
      <c r="C15" s="4" t="s">
        <v>1480</v>
      </c>
      <c r="D15" s="5" t="n">
        <v>0.7</v>
      </c>
      <c r="E15" s="6" t="n">
        <v>7.21</v>
      </c>
      <c r="F15" s="7" t="n">
        <f aca="false">E15*6</f>
        <v>43.26</v>
      </c>
      <c r="G15" s="7" t="n">
        <f aca="false">E15*12</f>
        <v>86.52</v>
      </c>
      <c r="H15" s="6" t="n">
        <v>7.21</v>
      </c>
      <c r="I15" s="18" t="n">
        <v>1000</v>
      </c>
      <c r="J15" s="18" t="n">
        <v>1250</v>
      </c>
      <c r="K15" s="18" t="n">
        <v>27</v>
      </c>
      <c r="L15" s="7" t="n">
        <v>200</v>
      </c>
    </row>
    <row r="16" customFormat="false" ht="15" hidden="false" customHeight="false" outlineLevel="0" collapsed="false">
      <c r="A16" s="9" t="s">
        <v>1485</v>
      </c>
      <c r="B16" s="9" t="s">
        <v>1472</v>
      </c>
      <c r="C16" s="9" t="s">
        <v>1480</v>
      </c>
      <c r="D16" s="10" t="n">
        <v>0.8</v>
      </c>
      <c r="E16" s="11" t="n">
        <v>8.19</v>
      </c>
      <c r="F16" s="12" t="n">
        <f aca="false">E16*6</f>
        <v>49.14</v>
      </c>
      <c r="G16" s="12" t="n">
        <f aca="false">E16*12</f>
        <v>98.28</v>
      </c>
      <c r="H16" s="11" t="n">
        <v>8.19</v>
      </c>
      <c r="I16" s="19" t="n">
        <v>1000</v>
      </c>
      <c r="J16" s="19" t="n">
        <v>1250</v>
      </c>
      <c r="K16" s="19" t="n">
        <v>27</v>
      </c>
      <c r="L16" s="12" t="n">
        <v>200</v>
      </c>
    </row>
    <row r="17" customFormat="false" ht="15" hidden="false" customHeight="false" outlineLevel="0" collapsed="false">
      <c r="A17" s="4" t="s">
        <v>1486</v>
      </c>
      <c r="B17" s="4" t="s">
        <v>1472</v>
      </c>
      <c r="C17" s="4" t="s">
        <v>1480</v>
      </c>
      <c r="D17" s="5" t="n">
        <v>1</v>
      </c>
      <c r="E17" s="6" t="n">
        <v>10.16</v>
      </c>
      <c r="F17" s="7" t="n">
        <f aca="false">E17*6</f>
        <v>60.96</v>
      </c>
      <c r="G17" s="7" t="n">
        <f aca="false">E17*12</f>
        <v>121.92</v>
      </c>
      <c r="H17" s="6" t="n">
        <v>10.16</v>
      </c>
      <c r="I17" s="18" t="n">
        <v>1000</v>
      </c>
      <c r="J17" s="18" t="n">
        <v>1250</v>
      </c>
      <c r="K17" s="18" t="n">
        <v>27</v>
      </c>
      <c r="L17" s="7" t="n">
        <v>200</v>
      </c>
    </row>
    <row r="18" customFormat="false" ht="15" hidden="false" customHeight="false" outlineLevel="0" collapsed="false">
      <c r="A18" s="9" t="s">
        <v>1487</v>
      </c>
      <c r="B18" s="9" t="s">
        <v>1472</v>
      </c>
      <c r="C18" s="9" t="s">
        <v>1488</v>
      </c>
      <c r="D18" s="10" t="n">
        <v>0.4</v>
      </c>
      <c r="E18" s="11" t="n">
        <v>4.27</v>
      </c>
      <c r="F18" s="12" t="n">
        <f aca="false">E18*6</f>
        <v>25.62</v>
      </c>
      <c r="G18" s="12" t="n">
        <f aca="false">E18*12</f>
        <v>51.24</v>
      </c>
      <c r="H18" s="11" t="n">
        <v>4.12</v>
      </c>
      <c r="I18" s="19" t="n">
        <v>1035</v>
      </c>
      <c r="J18" s="19" t="n">
        <v>1250</v>
      </c>
      <c r="K18" s="19" t="n">
        <v>35</v>
      </c>
      <c r="L18" s="12" t="n">
        <v>207</v>
      </c>
    </row>
    <row r="19" customFormat="false" ht="15" hidden="false" customHeight="false" outlineLevel="0" collapsed="false">
      <c r="A19" s="4" t="s">
        <v>1489</v>
      </c>
      <c r="B19" s="4" t="s">
        <v>1472</v>
      </c>
      <c r="C19" s="4" t="s">
        <v>1488</v>
      </c>
      <c r="D19" s="5" t="n">
        <v>0.45</v>
      </c>
      <c r="E19" s="6" t="n">
        <v>4.76</v>
      </c>
      <c r="F19" s="7" t="n">
        <f aca="false">E19*6</f>
        <v>28.56</v>
      </c>
      <c r="G19" s="7" t="n">
        <f aca="false">E19*12</f>
        <v>57.12</v>
      </c>
      <c r="H19" s="6" t="n">
        <v>4.6</v>
      </c>
      <c r="I19" s="18" t="n">
        <v>1035</v>
      </c>
      <c r="J19" s="18" t="n">
        <v>1250</v>
      </c>
      <c r="K19" s="18" t="n">
        <v>35</v>
      </c>
      <c r="L19" s="7" t="n">
        <v>207</v>
      </c>
    </row>
    <row r="20" customFormat="false" ht="15" hidden="false" customHeight="false" outlineLevel="0" collapsed="false">
      <c r="A20" s="9" t="s">
        <v>1490</v>
      </c>
      <c r="B20" s="9" t="s">
        <v>1472</v>
      </c>
      <c r="C20" s="9" t="s">
        <v>1488</v>
      </c>
      <c r="D20" s="10" t="n">
        <v>0.5</v>
      </c>
      <c r="E20" s="11" t="n">
        <v>5.25</v>
      </c>
      <c r="F20" s="12" t="n">
        <f aca="false">E20*6</f>
        <v>31.5</v>
      </c>
      <c r="G20" s="12" t="n">
        <f aca="false">E20*12</f>
        <v>63</v>
      </c>
      <c r="H20" s="11" t="n">
        <v>5.07</v>
      </c>
      <c r="I20" s="19" t="n">
        <v>1035</v>
      </c>
      <c r="J20" s="19" t="n">
        <v>1250</v>
      </c>
      <c r="K20" s="19" t="n">
        <v>35</v>
      </c>
      <c r="L20" s="12" t="n">
        <v>207</v>
      </c>
    </row>
    <row r="21" customFormat="false" ht="15" hidden="false" customHeight="false" outlineLevel="0" collapsed="false">
      <c r="A21" s="4" t="s">
        <v>1491</v>
      </c>
      <c r="B21" s="4" t="s">
        <v>1472</v>
      </c>
      <c r="C21" s="4" t="s">
        <v>1488</v>
      </c>
      <c r="D21" s="5" t="n">
        <v>0.6</v>
      </c>
      <c r="E21" s="6" t="n">
        <v>6.23</v>
      </c>
      <c r="F21" s="7" t="n">
        <f aca="false">E21*6</f>
        <v>37.38</v>
      </c>
      <c r="G21" s="7" t="n">
        <f aca="false">E21*12</f>
        <v>74.76</v>
      </c>
      <c r="H21" s="6" t="n">
        <v>6.02</v>
      </c>
      <c r="I21" s="18" t="n">
        <v>1035</v>
      </c>
      <c r="J21" s="18" t="n">
        <v>1250</v>
      </c>
      <c r="K21" s="18" t="n">
        <v>35</v>
      </c>
      <c r="L21" s="7" t="n">
        <v>207</v>
      </c>
    </row>
    <row r="22" customFormat="false" ht="15" hidden="false" customHeight="false" outlineLevel="0" collapsed="false">
      <c r="A22" s="9" t="s">
        <v>1492</v>
      </c>
      <c r="B22" s="9" t="s">
        <v>1472</v>
      </c>
      <c r="C22" s="9" t="s">
        <v>1488</v>
      </c>
      <c r="D22" s="10" t="n">
        <v>0.7</v>
      </c>
      <c r="E22" s="11" t="n">
        <v>7.21</v>
      </c>
      <c r="F22" s="12" t="n">
        <f aca="false">E22*6</f>
        <v>43.26</v>
      </c>
      <c r="G22" s="12" t="n">
        <f aca="false">E22*12</f>
        <v>86.52</v>
      </c>
      <c r="H22" s="11" t="n">
        <v>6.97</v>
      </c>
      <c r="I22" s="19" t="n">
        <v>1035</v>
      </c>
      <c r="J22" s="19" t="n">
        <v>1250</v>
      </c>
      <c r="K22" s="19" t="n">
        <v>35</v>
      </c>
      <c r="L22" s="12" t="n">
        <v>207</v>
      </c>
    </row>
    <row r="23" customFormat="false" ht="15" hidden="false" customHeight="false" outlineLevel="0" collapsed="false">
      <c r="A23" s="4" t="s">
        <v>1493</v>
      </c>
      <c r="B23" s="4" t="s">
        <v>1472</v>
      </c>
      <c r="C23" s="4" t="s">
        <v>1488</v>
      </c>
      <c r="D23" s="5" t="n">
        <v>0.8</v>
      </c>
      <c r="E23" s="6" t="n">
        <v>8.19</v>
      </c>
      <c r="F23" s="7" t="n">
        <f aca="false">E23*6</f>
        <v>49.14</v>
      </c>
      <c r="G23" s="7" t="n">
        <f aca="false">E23*12</f>
        <v>98.28</v>
      </c>
      <c r="H23" s="6" t="n">
        <v>7.92</v>
      </c>
      <c r="I23" s="18" t="n">
        <v>1035</v>
      </c>
      <c r="J23" s="18" t="n">
        <v>1250</v>
      </c>
      <c r="K23" s="18" t="n">
        <v>35</v>
      </c>
      <c r="L23" s="7" t="n">
        <v>207</v>
      </c>
    </row>
    <row r="24" customFormat="false" ht="15" hidden="false" customHeight="false" outlineLevel="0" collapsed="false">
      <c r="A24" s="9" t="s">
        <v>1494</v>
      </c>
      <c r="B24" s="9" t="s">
        <v>1472</v>
      </c>
      <c r="C24" s="9" t="s">
        <v>1488</v>
      </c>
      <c r="D24" s="10" t="n">
        <v>1</v>
      </c>
      <c r="E24" s="11" t="n">
        <v>10.16</v>
      </c>
      <c r="F24" s="12" t="n">
        <f aca="false">E24*6</f>
        <v>60.96</v>
      </c>
      <c r="G24" s="12" t="n">
        <f aca="false">E24*12</f>
        <v>121.92</v>
      </c>
      <c r="H24" s="11" t="n">
        <v>9.81</v>
      </c>
      <c r="I24" s="19" t="n">
        <v>1035</v>
      </c>
      <c r="J24" s="19" t="n">
        <v>1250</v>
      </c>
      <c r="K24" s="19" t="n">
        <v>35</v>
      </c>
      <c r="L24" s="12" t="n">
        <v>207</v>
      </c>
    </row>
    <row r="25" customFormat="false" ht="15" hidden="false" customHeight="false" outlineLevel="0" collapsed="false">
      <c r="A25" s="4" t="s">
        <v>1495</v>
      </c>
      <c r="B25" s="4" t="s">
        <v>1472</v>
      </c>
      <c r="C25" s="4" t="s">
        <v>1496</v>
      </c>
      <c r="D25" s="5" t="n">
        <v>0.5</v>
      </c>
      <c r="E25" s="6" t="n">
        <v>5.25</v>
      </c>
      <c r="F25" s="7" t="n">
        <f aca="false">E25*6</f>
        <v>31.5</v>
      </c>
      <c r="G25" s="7" t="n">
        <f aca="false">E25*12</f>
        <v>63</v>
      </c>
      <c r="H25" s="6" t="n">
        <v>5.25</v>
      </c>
      <c r="I25" s="18" t="n">
        <v>1000</v>
      </c>
      <c r="J25" s="18" t="n">
        <v>1250</v>
      </c>
      <c r="K25" s="18" t="n">
        <v>38</v>
      </c>
      <c r="L25" s="7" t="n">
        <v>250</v>
      </c>
    </row>
    <row r="26" customFormat="false" ht="15" hidden="false" customHeight="false" outlineLevel="0" collapsed="false">
      <c r="A26" s="9" t="s">
        <v>1497</v>
      </c>
      <c r="B26" s="9" t="s">
        <v>1472</v>
      </c>
      <c r="C26" s="9" t="s">
        <v>1496</v>
      </c>
      <c r="D26" s="10" t="n">
        <v>0.6</v>
      </c>
      <c r="E26" s="11" t="n">
        <v>6.23</v>
      </c>
      <c r="F26" s="12" t="n">
        <f aca="false">E26*6</f>
        <v>37.38</v>
      </c>
      <c r="G26" s="12" t="n">
        <f aca="false">E26*12</f>
        <v>74.76</v>
      </c>
      <c r="H26" s="11" t="n">
        <v>6.23</v>
      </c>
      <c r="I26" s="19" t="n">
        <v>1000</v>
      </c>
      <c r="J26" s="19" t="n">
        <v>1250</v>
      </c>
      <c r="K26" s="19" t="n">
        <v>38</v>
      </c>
      <c r="L26" s="12" t="n">
        <v>250</v>
      </c>
    </row>
    <row r="27" customFormat="false" ht="15" hidden="false" customHeight="false" outlineLevel="0" collapsed="false">
      <c r="A27" s="4" t="s">
        <v>1498</v>
      </c>
      <c r="B27" s="4" t="s">
        <v>1472</v>
      </c>
      <c r="C27" s="4" t="s">
        <v>1496</v>
      </c>
      <c r="D27" s="5" t="n">
        <v>0.7</v>
      </c>
      <c r="E27" s="6" t="n">
        <v>7.21</v>
      </c>
      <c r="F27" s="7" t="n">
        <f aca="false">E27*6</f>
        <v>43.26</v>
      </c>
      <c r="G27" s="7" t="n">
        <f aca="false">E27*12</f>
        <v>86.52</v>
      </c>
      <c r="H27" s="6" t="n">
        <v>7.21</v>
      </c>
      <c r="I27" s="18" t="n">
        <v>1000</v>
      </c>
      <c r="J27" s="18" t="n">
        <v>1250</v>
      </c>
      <c r="K27" s="18" t="n">
        <v>38</v>
      </c>
      <c r="L27" s="7" t="n">
        <v>250</v>
      </c>
    </row>
    <row r="28" customFormat="false" ht="15" hidden="false" customHeight="false" outlineLevel="0" collapsed="false">
      <c r="A28" s="9" t="s">
        <v>1499</v>
      </c>
      <c r="B28" s="9" t="s">
        <v>1472</v>
      </c>
      <c r="C28" s="9" t="s">
        <v>1496</v>
      </c>
      <c r="D28" s="10" t="n">
        <v>0.8</v>
      </c>
      <c r="E28" s="11" t="n">
        <v>8.19</v>
      </c>
      <c r="F28" s="12" t="n">
        <f aca="false">E28*6</f>
        <v>49.14</v>
      </c>
      <c r="G28" s="12" t="n">
        <f aca="false">E28*12</f>
        <v>98.28</v>
      </c>
      <c r="H28" s="11" t="n">
        <v>8.19</v>
      </c>
      <c r="I28" s="19" t="n">
        <v>1000</v>
      </c>
      <c r="J28" s="19" t="n">
        <v>1250</v>
      </c>
      <c r="K28" s="19" t="n">
        <v>38</v>
      </c>
      <c r="L28" s="12" t="n">
        <v>250</v>
      </c>
    </row>
    <row r="29" customFormat="false" ht="15" hidden="false" customHeight="false" outlineLevel="0" collapsed="false">
      <c r="A29" s="4" t="s">
        <v>1500</v>
      </c>
      <c r="B29" s="4" t="s">
        <v>1472</v>
      </c>
      <c r="C29" s="4" t="s">
        <v>1496</v>
      </c>
      <c r="D29" s="5" t="n">
        <v>1</v>
      </c>
      <c r="E29" s="6" t="n">
        <v>10.16</v>
      </c>
      <c r="F29" s="7" t="n">
        <f aca="false">E29*6</f>
        <v>60.96</v>
      </c>
      <c r="G29" s="7" t="n">
        <f aca="false">E29*12</f>
        <v>121.92</v>
      </c>
      <c r="H29" s="6" t="n">
        <v>10.16</v>
      </c>
      <c r="I29" s="18" t="n">
        <v>1000</v>
      </c>
      <c r="J29" s="18" t="n">
        <v>1250</v>
      </c>
      <c r="K29" s="18" t="n">
        <v>38</v>
      </c>
      <c r="L29" s="7" t="n">
        <v>250</v>
      </c>
    </row>
    <row r="30" customFormat="false" ht="15" hidden="false" customHeight="false" outlineLevel="0" collapsed="false">
      <c r="A30" s="9" t="s">
        <v>1501</v>
      </c>
      <c r="B30" s="9" t="s">
        <v>1472</v>
      </c>
      <c r="C30" s="9" t="s">
        <v>1502</v>
      </c>
      <c r="D30" s="10" t="n">
        <v>0.5</v>
      </c>
      <c r="E30" s="11" t="n">
        <v>5.25</v>
      </c>
      <c r="F30" s="12" t="n">
        <f aca="false">E30*6</f>
        <v>31.5</v>
      </c>
      <c r="G30" s="12" t="n">
        <f aca="false">E30*12</f>
        <v>63</v>
      </c>
      <c r="H30" s="11" t="n">
        <v>5.83</v>
      </c>
      <c r="I30" s="19" t="n">
        <v>900</v>
      </c>
      <c r="J30" s="19" t="n">
        <v>1250</v>
      </c>
      <c r="K30" s="19" t="n">
        <v>40</v>
      </c>
      <c r="L30" s="12" t="n">
        <v>180</v>
      </c>
    </row>
    <row r="31" customFormat="false" ht="15" hidden="false" customHeight="false" outlineLevel="0" collapsed="false">
      <c r="A31" s="4" t="s">
        <v>1503</v>
      </c>
      <c r="B31" s="4" t="s">
        <v>1472</v>
      </c>
      <c r="C31" s="4" t="s">
        <v>1502</v>
      </c>
      <c r="D31" s="5" t="n">
        <v>0.6</v>
      </c>
      <c r="E31" s="6" t="n">
        <v>6.23</v>
      </c>
      <c r="F31" s="7" t="n">
        <f aca="false">E31*6</f>
        <v>37.38</v>
      </c>
      <c r="G31" s="7" t="n">
        <f aca="false">E31*12</f>
        <v>74.76</v>
      </c>
      <c r="H31" s="6" t="n">
        <v>6.92</v>
      </c>
      <c r="I31" s="18" t="n">
        <v>900</v>
      </c>
      <c r="J31" s="18" t="n">
        <v>1250</v>
      </c>
      <c r="K31" s="18" t="n">
        <v>40</v>
      </c>
      <c r="L31" s="7" t="n">
        <v>180</v>
      </c>
    </row>
    <row r="32" customFormat="false" ht="15" hidden="false" customHeight="false" outlineLevel="0" collapsed="false">
      <c r="A32" s="9" t="s">
        <v>1504</v>
      </c>
      <c r="B32" s="9" t="s">
        <v>1472</v>
      </c>
      <c r="C32" s="9" t="s">
        <v>1502</v>
      </c>
      <c r="D32" s="10" t="n">
        <v>0.7</v>
      </c>
      <c r="E32" s="11" t="n">
        <v>7.21</v>
      </c>
      <c r="F32" s="12" t="n">
        <f aca="false">E32*6</f>
        <v>43.26</v>
      </c>
      <c r="G32" s="12" t="n">
        <f aca="false">E32*12</f>
        <v>86.52</v>
      </c>
      <c r="H32" s="11" t="n">
        <v>8.01</v>
      </c>
      <c r="I32" s="19" t="n">
        <v>900</v>
      </c>
      <c r="J32" s="19" t="n">
        <v>1250</v>
      </c>
      <c r="K32" s="19" t="n">
        <v>40</v>
      </c>
      <c r="L32" s="12" t="n">
        <v>180</v>
      </c>
    </row>
    <row r="33" customFormat="false" ht="15" hidden="false" customHeight="false" outlineLevel="0" collapsed="false">
      <c r="A33" s="4" t="s">
        <v>1505</v>
      </c>
      <c r="B33" s="4" t="s">
        <v>1472</v>
      </c>
      <c r="C33" s="4" t="s">
        <v>1502</v>
      </c>
      <c r="D33" s="5" t="n">
        <v>0.8</v>
      </c>
      <c r="E33" s="6" t="n">
        <v>8.19</v>
      </c>
      <c r="F33" s="7" t="n">
        <f aca="false">E33*6</f>
        <v>49.14</v>
      </c>
      <c r="G33" s="7" t="n">
        <f aca="false">E33*12</f>
        <v>98.28</v>
      </c>
      <c r="H33" s="6" t="n">
        <v>9.1</v>
      </c>
      <c r="I33" s="18" t="n">
        <v>900</v>
      </c>
      <c r="J33" s="18" t="n">
        <v>1250</v>
      </c>
      <c r="K33" s="18" t="n">
        <v>40</v>
      </c>
      <c r="L33" s="7" t="n">
        <v>180</v>
      </c>
    </row>
    <row r="34" customFormat="false" ht="15" hidden="false" customHeight="false" outlineLevel="0" collapsed="false">
      <c r="A34" s="9" t="s">
        <v>1506</v>
      </c>
      <c r="B34" s="9" t="s">
        <v>1472</v>
      </c>
      <c r="C34" s="9" t="s">
        <v>1502</v>
      </c>
      <c r="D34" s="10" t="n">
        <v>1</v>
      </c>
      <c r="E34" s="11" t="n">
        <v>10.16</v>
      </c>
      <c r="F34" s="12" t="n">
        <f aca="false">E34*6</f>
        <v>60.96</v>
      </c>
      <c r="G34" s="12" t="n">
        <f aca="false">E34*12</f>
        <v>121.92</v>
      </c>
      <c r="H34" s="11" t="n">
        <v>11.28</v>
      </c>
      <c r="I34" s="19" t="n">
        <v>900</v>
      </c>
      <c r="J34" s="19" t="n">
        <v>1250</v>
      </c>
      <c r="K34" s="19" t="n">
        <v>40</v>
      </c>
      <c r="L34" s="12" t="n">
        <v>180</v>
      </c>
    </row>
    <row r="35" customFormat="false" ht="15" hidden="false" customHeight="false" outlineLevel="0" collapsed="false">
      <c r="A35" s="4" t="s">
        <v>1507</v>
      </c>
      <c r="B35" s="4" t="s">
        <v>1472</v>
      </c>
      <c r="C35" s="4" t="s">
        <v>1508</v>
      </c>
      <c r="D35" s="5" t="n">
        <v>0.6</v>
      </c>
      <c r="E35" s="6" t="n">
        <v>6.23</v>
      </c>
      <c r="F35" s="7" t="n">
        <f aca="false">E35*6</f>
        <v>37.38</v>
      </c>
      <c r="G35" s="7" t="n">
        <f aca="false">E35*12</f>
        <v>74.76</v>
      </c>
      <c r="H35" s="6" t="n">
        <v>6.92</v>
      </c>
      <c r="I35" s="18" t="n">
        <v>900</v>
      </c>
      <c r="J35" s="18" t="n">
        <v>1250</v>
      </c>
      <c r="K35" s="18" t="n">
        <v>55</v>
      </c>
      <c r="L35" s="7" t="n">
        <v>150</v>
      </c>
    </row>
    <row r="36" customFormat="false" ht="15" hidden="false" customHeight="false" outlineLevel="0" collapsed="false">
      <c r="A36" s="9" t="s">
        <v>1509</v>
      </c>
      <c r="B36" s="9" t="s">
        <v>1472</v>
      </c>
      <c r="C36" s="9" t="s">
        <v>1508</v>
      </c>
      <c r="D36" s="10" t="n">
        <v>0.7</v>
      </c>
      <c r="E36" s="11" t="n">
        <v>7.21</v>
      </c>
      <c r="F36" s="12" t="n">
        <f aca="false">E36*6</f>
        <v>43.26</v>
      </c>
      <c r="G36" s="12" t="n">
        <f aca="false">E36*12</f>
        <v>86.52</v>
      </c>
      <c r="H36" s="11" t="n">
        <v>8.01</v>
      </c>
      <c r="I36" s="19" t="n">
        <v>900</v>
      </c>
      <c r="J36" s="19" t="n">
        <v>1250</v>
      </c>
      <c r="K36" s="19" t="n">
        <v>55</v>
      </c>
      <c r="L36" s="12" t="n">
        <v>150</v>
      </c>
    </row>
    <row r="37" customFormat="false" ht="15" hidden="false" customHeight="false" outlineLevel="0" collapsed="false">
      <c r="A37" s="4" t="s">
        <v>1510</v>
      </c>
      <c r="B37" s="4" t="s">
        <v>1472</v>
      </c>
      <c r="C37" s="4" t="s">
        <v>1508</v>
      </c>
      <c r="D37" s="5" t="n">
        <v>0.8</v>
      </c>
      <c r="E37" s="6" t="n">
        <v>8.19</v>
      </c>
      <c r="F37" s="7" t="n">
        <f aca="false">E37*6</f>
        <v>49.14</v>
      </c>
      <c r="G37" s="7" t="n">
        <f aca="false">E37*12</f>
        <v>98.28</v>
      </c>
      <c r="H37" s="6" t="n">
        <v>9.1</v>
      </c>
      <c r="I37" s="18" t="n">
        <v>900</v>
      </c>
      <c r="J37" s="18" t="n">
        <v>1250</v>
      </c>
      <c r="K37" s="18" t="n">
        <v>55</v>
      </c>
      <c r="L37" s="7" t="n">
        <v>150</v>
      </c>
    </row>
    <row r="38" customFormat="false" ht="15" hidden="false" customHeight="false" outlineLevel="0" collapsed="false">
      <c r="A38" s="9" t="s">
        <v>1511</v>
      </c>
      <c r="B38" s="9" t="s">
        <v>1472</v>
      </c>
      <c r="C38" s="9" t="s">
        <v>1508</v>
      </c>
      <c r="D38" s="10" t="n">
        <v>1</v>
      </c>
      <c r="E38" s="11" t="n">
        <v>10.16</v>
      </c>
      <c r="F38" s="12" t="n">
        <f aca="false">E38*6</f>
        <v>60.96</v>
      </c>
      <c r="G38" s="12" t="n">
        <f aca="false">E38*12</f>
        <v>121.92</v>
      </c>
      <c r="H38" s="11" t="n">
        <v>11.28</v>
      </c>
      <c r="I38" s="19" t="n">
        <v>900</v>
      </c>
      <c r="J38" s="19" t="n">
        <v>1250</v>
      </c>
      <c r="K38" s="19" t="n">
        <v>55</v>
      </c>
      <c r="L38" s="12" t="n">
        <v>150</v>
      </c>
    </row>
    <row r="39" customFormat="false" ht="15" hidden="false" customHeight="false" outlineLevel="0" collapsed="false">
      <c r="A39" s="4" t="s">
        <v>1512</v>
      </c>
      <c r="B39" s="4" t="s">
        <v>1472</v>
      </c>
      <c r="C39" s="4" t="s">
        <v>1508</v>
      </c>
      <c r="D39" s="5" t="n">
        <v>1.2</v>
      </c>
      <c r="E39" s="6" t="n">
        <v>12.12</v>
      </c>
      <c r="F39" s="7" t="n">
        <f aca="false">E39*6</f>
        <v>72.72</v>
      </c>
      <c r="G39" s="7" t="n">
        <f aca="false">E39*12</f>
        <v>145.44</v>
      </c>
      <c r="H39" s="6" t="n">
        <v>13.47</v>
      </c>
      <c r="I39" s="18" t="n">
        <v>900</v>
      </c>
      <c r="J39" s="18" t="n">
        <v>1250</v>
      </c>
      <c r="K39" s="18" t="n">
        <v>55</v>
      </c>
      <c r="L39" s="7" t="n">
        <v>150</v>
      </c>
    </row>
    <row r="40" customFormat="false" ht="15" hidden="false" customHeight="false" outlineLevel="0" collapsed="false">
      <c r="A40" s="9" t="s">
        <v>1513</v>
      </c>
      <c r="B40" s="9" t="s">
        <v>1514</v>
      </c>
      <c r="C40" s="9" t="s">
        <v>1515</v>
      </c>
      <c r="D40" s="10" t="n">
        <v>0.7</v>
      </c>
      <c r="E40" s="11" t="n">
        <v>7.21</v>
      </c>
      <c r="F40" s="12" t="n">
        <f aca="false">E40*6</f>
        <v>43.26</v>
      </c>
      <c r="G40" s="12" t="n">
        <f aca="false">E40*12</f>
        <v>86.52</v>
      </c>
      <c r="H40" s="11" t="n">
        <v>8.74</v>
      </c>
      <c r="I40" s="19" t="n">
        <v>825</v>
      </c>
      <c r="J40" s="19" t="n">
        <v>1250</v>
      </c>
      <c r="K40" s="19" t="n">
        <v>75</v>
      </c>
      <c r="L40" s="12" t="n">
        <v>275</v>
      </c>
    </row>
    <row r="41" customFormat="false" ht="15" hidden="false" customHeight="false" outlineLevel="0" collapsed="false">
      <c r="A41" s="4" t="s">
        <v>1516</v>
      </c>
      <c r="B41" s="4" t="s">
        <v>1514</v>
      </c>
      <c r="C41" s="4" t="s">
        <v>1515</v>
      </c>
      <c r="D41" s="5" t="n">
        <v>0.8</v>
      </c>
      <c r="E41" s="6" t="n">
        <v>8.19</v>
      </c>
      <c r="F41" s="7" t="n">
        <f aca="false">E41*6</f>
        <v>49.14</v>
      </c>
      <c r="G41" s="7" t="n">
        <f aca="false">E41*12</f>
        <v>98.28</v>
      </c>
      <c r="H41" s="6" t="n">
        <v>9.93</v>
      </c>
      <c r="I41" s="18" t="n">
        <v>825</v>
      </c>
      <c r="J41" s="18" t="n">
        <v>1250</v>
      </c>
      <c r="K41" s="18" t="n">
        <v>75</v>
      </c>
      <c r="L41" s="7" t="n">
        <v>275</v>
      </c>
    </row>
    <row r="42" customFormat="false" ht="15" hidden="false" customHeight="false" outlineLevel="0" collapsed="false">
      <c r="A42" s="9" t="s">
        <v>1517</v>
      </c>
      <c r="B42" s="9" t="s">
        <v>1514</v>
      </c>
      <c r="C42" s="9" t="s">
        <v>1515</v>
      </c>
      <c r="D42" s="10" t="n">
        <v>1</v>
      </c>
      <c r="E42" s="11" t="n">
        <v>10.16</v>
      </c>
      <c r="F42" s="12" t="n">
        <f aca="false">E42*6</f>
        <v>60.96</v>
      </c>
      <c r="G42" s="12" t="n">
        <f aca="false">E42*12</f>
        <v>121.92</v>
      </c>
      <c r="H42" s="11" t="n">
        <v>12.31</v>
      </c>
      <c r="I42" s="19" t="n">
        <v>825</v>
      </c>
      <c r="J42" s="19" t="n">
        <v>1250</v>
      </c>
      <c r="K42" s="19" t="n">
        <v>75</v>
      </c>
      <c r="L42" s="12" t="n">
        <v>275</v>
      </c>
    </row>
    <row r="43" customFormat="false" ht="15" hidden="false" customHeight="false" outlineLevel="0" collapsed="false">
      <c r="A43" s="4" t="s">
        <v>1518</v>
      </c>
      <c r="B43" s="4" t="s">
        <v>1514</v>
      </c>
      <c r="C43" s="4" t="s">
        <v>1515</v>
      </c>
      <c r="D43" s="5" t="n">
        <v>1.2</v>
      </c>
      <c r="E43" s="6" t="n">
        <v>12.12</v>
      </c>
      <c r="F43" s="7" t="n">
        <f aca="false">E43*6</f>
        <v>72.72</v>
      </c>
      <c r="G43" s="7" t="n">
        <f aca="false">E43*12</f>
        <v>145.44</v>
      </c>
      <c r="H43" s="6" t="n">
        <v>14.69</v>
      </c>
      <c r="I43" s="18" t="n">
        <v>825</v>
      </c>
      <c r="J43" s="18" t="n">
        <v>1250</v>
      </c>
      <c r="K43" s="18" t="n">
        <v>75</v>
      </c>
      <c r="L43" s="7" t="n">
        <v>275</v>
      </c>
    </row>
    <row r="44" customFormat="false" ht="15" hidden="false" customHeight="false" outlineLevel="0" collapsed="false">
      <c r="A44" s="9" t="s">
        <v>1519</v>
      </c>
      <c r="B44" s="9" t="s">
        <v>1514</v>
      </c>
      <c r="C44" s="9" t="s">
        <v>1520</v>
      </c>
      <c r="D44" s="10" t="n">
        <v>0.75</v>
      </c>
      <c r="E44" s="11" t="n">
        <v>7.7</v>
      </c>
      <c r="F44" s="12" t="n">
        <f aca="false">E44*6</f>
        <v>46.2</v>
      </c>
      <c r="G44" s="12" t="n">
        <f aca="false">E44*12</f>
        <v>92.4</v>
      </c>
      <c r="H44" s="11" t="n">
        <v>11.25</v>
      </c>
      <c r="I44" s="19" t="n">
        <v>685</v>
      </c>
      <c r="J44" s="19" t="n">
        <v>1250</v>
      </c>
      <c r="K44" s="19" t="n">
        <v>110</v>
      </c>
      <c r="L44" s="12" t="n">
        <v>228</v>
      </c>
    </row>
    <row r="45" customFormat="false" ht="15" hidden="false" customHeight="false" outlineLevel="0" collapsed="false">
      <c r="A45" s="4" t="s">
        <v>1521</v>
      </c>
      <c r="B45" s="4" t="s">
        <v>1514</v>
      </c>
      <c r="C45" s="4" t="s">
        <v>1520</v>
      </c>
      <c r="D45" s="5" t="n">
        <v>0.88</v>
      </c>
      <c r="E45" s="6" t="n">
        <v>8.98</v>
      </c>
      <c r="F45" s="7" t="n">
        <f aca="false">E45*6</f>
        <v>53.88</v>
      </c>
      <c r="G45" s="7" t="n">
        <f aca="false">E45*12</f>
        <v>107.76</v>
      </c>
      <c r="H45" s="6" t="n">
        <v>13.11</v>
      </c>
      <c r="I45" s="18" t="n">
        <v>685</v>
      </c>
      <c r="J45" s="18" t="n">
        <v>1250</v>
      </c>
      <c r="K45" s="18" t="n">
        <v>110</v>
      </c>
      <c r="L45" s="7" t="n">
        <v>228</v>
      </c>
    </row>
    <row r="46" customFormat="false" ht="15" hidden="false" customHeight="false" outlineLevel="0" collapsed="false">
      <c r="A46" s="9" t="s">
        <v>1522</v>
      </c>
      <c r="B46" s="9" t="s">
        <v>1514</v>
      </c>
      <c r="C46" s="9" t="s">
        <v>1520</v>
      </c>
      <c r="D46" s="10" t="n">
        <v>1</v>
      </c>
      <c r="E46" s="11" t="n">
        <v>10.16</v>
      </c>
      <c r="F46" s="12" t="n">
        <f aca="false">E46*6</f>
        <v>60.96</v>
      </c>
      <c r="G46" s="12" t="n">
        <f aca="false">E46*12</f>
        <v>121.92</v>
      </c>
      <c r="H46" s="11" t="n">
        <v>14.83</v>
      </c>
      <c r="I46" s="19" t="n">
        <v>685</v>
      </c>
      <c r="J46" s="19" t="n">
        <v>1250</v>
      </c>
      <c r="K46" s="19" t="n">
        <v>110</v>
      </c>
      <c r="L46" s="12" t="n">
        <v>228</v>
      </c>
    </row>
    <row r="47" customFormat="false" ht="15" hidden="false" customHeight="false" outlineLevel="0" collapsed="false">
      <c r="A47" s="4" t="s">
        <v>1523</v>
      </c>
      <c r="B47" s="4" t="s">
        <v>1514</v>
      </c>
      <c r="C47" s="4" t="s">
        <v>1520</v>
      </c>
      <c r="D47" s="5" t="n">
        <v>1.25</v>
      </c>
      <c r="E47" s="6" t="n">
        <v>12.61</v>
      </c>
      <c r="F47" s="7" t="n">
        <f aca="false">E47*6</f>
        <v>75.66</v>
      </c>
      <c r="G47" s="7" t="n">
        <f aca="false">E47*12</f>
        <v>151.32</v>
      </c>
      <c r="H47" s="6" t="n">
        <v>18.41</v>
      </c>
      <c r="I47" s="18" t="n">
        <v>685</v>
      </c>
      <c r="J47" s="18" t="n">
        <v>1250</v>
      </c>
      <c r="K47" s="18" t="n">
        <v>110</v>
      </c>
      <c r="L47" s="7" t="n">
        <v>228</v>
      </c>
    </row>
    <row r="48" customFormat="false" ht="15" hidden="false" customHeight="false" outlineLevel="0" collapsed="false">
      <c r="A48" s="9" t="s">
        <v>1524</v>
      </c>
      <c r="B48" s="9" t="s">
        <v>1514</v>
      </c>
      <c r="C48" s="9" t="s">
        <v>1520</v>
      </c>
      <c r="D48" s="10" t="n">
        <v>1.5</v>
      </c>
      <c r="E48" s="11" t="n">
        <v>15.06</v>
      </c>
      <c r="F48" s="12" t="n">
        <f aca="false">E48*6</f>
        <v>90.36</v>
      </c>
      <c r="G48" s="12" t="n">
        <f aca="false">E48*12</f>
        <v>180.72</v>
      </c>
      <c r="H48" s="11" t="n">
        <v>21.99</v>
      </c>
      <c r="I48" s="19" t="n">
        <v>685</v>
      </c>
      <c r="J48" s="19" t="n">
        <v>1250</v>
      </c>
      <c r="K48" s="19" t="n">
        <v>110</v>
      </c>
      <c r="L48" s="12" t="n">
        <v>228</v>
      </c>
    </row>
    <row r="49" customFormat="false" ht="15" hidden="false" customHeight="false" outlineLevel="0" collapsed="false">
      <c r="A49" s="4" t="s">
        <v>1525</v>
      </c>
      <c r="B49" s="4" t="s">
        <v>1514</v>
      </c>
      <c r="C49" s="4" t="s">
        <v>1526</v>
      </c>
      <c r="D49" s="5" t="n">
        <v>0.75</v>
      </c>
      <c r="E49" s="6" t="n">
        <v>9.24</v>
      </c>
      <c r="F49" s="7" t="n">
        <f aca="false">E49*6</f>
        <v>55.44</v>
      </c>
      <c r="G49" s="7" t="n">
        <f aca="false">E49*12</f>
        <v>110.88</v>
      </c>
      <c r="H49" s="6" t="n">
        <v>10.88</v>
      </c>
      <c r="I49" s="18" t="n">
        <v>850</v>
      </c>
      <c r="J49" s="18" t="n">
        <v>1500</v>
      </c>
      <c r="K49" s="18" t="n">
        <v>153</v>
      </c>
      <c r="L49" s="7" t="n">
        <v>283</v>
      </c>
    </row>
    <row r="50" customFormat="false" ht="15" hidden="false" customHeight="false" outlineLevel="0" collapsed="false">
      <c r="A50" s="9" t="s">
        <v>1527</v>
      </c>
      <c r="B50" s="9" t="s">
        <v>1514</v>
      </c>
      <c r="C50" s="9" t="s">
        <v>1526</v>
      </c>
      <c r="D50" s="10" t="n">
        <v>0.88</v>
      </c>
      <c r="E50" s="11" t="n">
        <v>10.77</v>
      </c>
      <c r="F50" s="12" t="n">
        <f aca="false">E50*6</f>
        <v>64.62</v>
      </c>
      <c r="G50" s="12" t="n">
        <f aca="false">E50*12</f>
        <v>129.24</v>
      </c>
      <c r="H50" s="11" t="n">
        <v>12.68</v>
      </c>
      <c r="I50" s="19" t="n">
        <v>850</v>
      </c>
      <c r="J50" s="19" t="n">
        <v>1500</v>
      </c>
      <c r="K50" s="19" t="n">
        <v>153</v>
      </c>
      <c r="L50" s="12" t="n">
        <v>283</v>
      </c>
    </row>
    <row r="51" customFormat="false" ht="15" hidden="false" customHeight="false" outlineLevel="0" collapsed="false">
      <c r="A51" s="4" t="s">
        <v>1528</v>
      </c>
      <c r="B51" s="4" t="s">
        <v>1514</v>
      </c>
      <c r="C51" s="4" t="s">
        <v>1526</v>
      </c>
      <c r="D51" s="5" t="n">
        <v>1</v>
      </c>
      <c r="E51" s="6" t="n">
        <v>12.19</v>
      </c>
      <c r="F51" s="7" t="n">
        <f aca="false">E51*6</f>
        <v>73.14</v>
      </c>
      <c r="G51" s="7" t="n">
        <f aca="false">E51*12</f>
        <v>146.28</v>
      </c>
      <c r="H51" s="6" t="n">
        <v>14.34</v>
      </c>
      <c r="I51" s="18" t="n">
        <v>850</v>
      </c>
      <c r="J51" s="18" t="n">
        <v>1500</v>
      </c>
      <c r="K51" s="18" t="n">
        <v>153</v>
      </c>
      <c r="L51" s="7" t="n">
        <v>283</v>
      </c>
    </row>
    <row r="52" customFormat="false" ht="15" hidden="false" customHeight="false" outlineLevel="0" collapsed="false">
      <c r="A52" s="9" t="s">
        <v>1529</v>
      </c>
      <c r="B52" s="9" t="s">
        <v>1514</v>
      </c>
      <c r="C52" s="9" t="s">
        <v>1526</v>
      </c>
      <c r="D52" s="10" t="n">
        <v>1.25</v>
      </c>
      <c r="E52" s="11" t="n">
        <v>15.13</v>
      </c>
      <c r="F52" s="12" t="n">
        <f aca="false">E52*6</f>
        <v>90.78</v>
      </c>
      <c r="G52" s="12" t="n">
        <f aca="false">E52*12</f>
        <v>181.56</v>
      </c>
      <c r="H52" s="11" t="n">
        <v>17.8</v>
      </c>
      <c r="I52" s="19" t="n">
        <v>850</v>
      </c>
      <c r="J52" s="19" t="n">
        <v>1500</v>
      </c>
      <c r="K52" s="19" t="n">
        <v>153</v>
      </c>
      <c r="L52" s="12" t="n">
        <v>283</v>
      </c>
    </row>
    <row r="53" customFormat="false" ht="15" hidden="false" customHeight="false" outlineLevel="0" collapsed="false">
      <c r="A53" s="4" t="s">
        <v>1530</v>
      </c>
      <c r="B53" s="4" t="s">
        <v>1514</v>
      </c>
      <c r="C53" s="4" t="s">
        <v>1526</v>
      </c>
      <c r="D53" s="5" t="n">
        <v>1.5</v>
      </c>
      <c r="E53" s="6" t="n">
        <v>18.07</v>
      </c>
      <c r="F53" s="7" t="n">
        <f aca="false">E53*6</f>
        <v>108.42</v>
      </c>
      <c r="G53" s="7" t="n">
        <f aca="false">E53*12</f>
        <v>216.84</v>
      </c>
      <c r="H53" s="6" t="n">
        <v>21.26</v>
      </c>
      <c r="I53" s="18" t="n">
        <v>850</v>
      </c>
      <c r="J53" s="18" t="n">
        <v>1500</v>
      </c>
      <c r="K53" s="18" t="n">
        <v>153</v>
      </c>
      <c r="L53" s="7" t="n">
        <v>283</v>
      </c>
    </row>
    <row r="54" customFormat="false" ht="15" hidden="false" customHeight="false" outlineLevel="0" collapsed="false">
      <c r="A54" s="9" t="s">
        <v>1531</v>
      </c>
      <c r="B54" s="9" t="s">
        <v>1532</v>
      </c>
      <c r="C54" s="9" t="s">
        <v>1533</v>
      </c>
      <c r="D54" s="10" t="n">
        <v>0.4</v>
      </c>
      <c r="E54" s="11" t="n">
        <v>4.27</v>
      </c>
      <c r="F54" s="12" t="n">
        <f aca="false">E54*6</f>
        <v>25.62</v>
      </c>
      <c r="G54" s="12" t="n">
        <f aca="false">E54*12</f>
        <v>51.24</v>
      </c>
      <c r="H54" s="11" t="n">
        <v>4.01</v>
      </c>
      <c r="I54" s="19" t="n">
        <v>1064</v>
      </c>
      <c r="J54" s="19" t="n">
        <v>1250</v>
      </c>
      <c r="K54" s="19" t="n">
        <v>18</v>
      </c>
      <c r="L54" s="12" t="n">
        <v>76.2</v>
      </c>
    </row>
    <row r="55" customFormat="false" ht="15" hidden="false" customHeight="false" outlineLevel="0" collapsed="false">
      <c r="A55" s="4" t="s">
        <v>1534</v>
      </c>
      <c r="B55" s="4" t="s">
        <v>1532</v>
      </c>
      <c r="C55" s="4" t="s">
        <v>1533</v>
      </c>
      <c r="D55" s="5" t="n">
        <v>0.45</v>
      </c>
      <c r="E55" s="6" t="n">
        <v>4.76</v>
      </c>
      <c r="F55" s="7" t="n">
        <f aca="false">E55*6</f>
        <v>28.56</v>
      </c>
      <c r="G55" s="7" t="n">
        <f aca="false">E55*12</f>
        <v>57.12</v>
      </c>
      <c r="H55" s="6" t="n">
        <v>4.47</v>
      </c>
      <c r="I55" s="18" t="n">
        <v>1064</v>
      </c>
      <c r="J55" s="18" t="n">
        <v>1250</v>
      </c>
      <c r="K55" s="18" t="n">
        <v>18</v>
      </c>
      <c r="L55" s="7" t="n">
        <v>76.2</v>
      </c>
    </row>
    <row r="56" customFormat="false" ht="15" hidden="false" customHeight="false" outlineLevel="0" collapsed="false">
      <c r="A56" s="9" t="s">
        <v>1535</v>
      </c>
      <c r="B56" s="9" t="s">
        <v>1532</v>
      </c>
      <c r="C56" s="9" t="s">
        <v>1533</v>
      </c>
      <c r="D56" s="10" t="n">
        <v>0.5</v>
      </c>
      <c r="E56" s="11" t="n">
        <v>5.25</v>
      </c>
      <c r="F56" s="12" t="n">
        <f aca="false">E56*6</f>
        <v>31.5</v>
      </c>
      <c r="G56" s="12" t="n">
        <f aca="false">E56*12</f>
        <v>63</v>
      </c>
      <c r="H56" s="11" t="n">
        <v>4.93</v>
      </c>
      <c r="I56" s="19" t="n">
        <v>1064</v>
      </c>
      <c r="J56" s="19" t="n">
        <v>1250</v>
      </c>
      <c r="K56" s="19" t="n">
        <v>18</v>
      </c>
      <c r="L56" s="12" t="n">
        <v>76.2</v>
      </c>
    </row>
    <row r="57" customFormat="false" ht="15" hidden="false" customHeight="false" outlineLevel="0" collapsed="false">
      <c r="A57" s="4" t="s">
        <v>1536</v>
      </c>
      <c r="B57" s="4" t="s">
        <v>1532</v>
      </c>
      <c r="C57" s="4" t="s">
        <v>1533</v>
      </c>
      <c r="D57" s="5" t="n">
        <v>0.6</v>
      </c>
      <c r="E57" s="6" t="n">
        <v>6.23</v>
      </c>
      <c r="F57" s="7" t="n">
        <f aca="false">E57*6</f>
        <v>37.38</v>
      </c>
      <c r="G57" s="7" t="n">
        <f aca="false">E57*12</f>
        <v>74.76</v>
      </c>
      <c r="H57" s="6" t="n">
        <v>5.86</v>
      </c>
      <c r="I57" s="18" t="n">
        <v>1064</v>
      </c>
      <c r="J57" s="18" t="n">
        <v>1250</v>
      </c>
      <c r="K57" s="18" t="n">
        <v>18</v>
      </c>
      <c r="L57" s="7" t="n">
        <v>76.2</v>
      </c>
    </row>
    <row r="58" customFormat="false" ht="15" hidden="false" customHeight="false" outlineLevel="0" collapsed="false">
      <c r="A58" s="9" t="s">
        <v>1537</v>
      </c>
      <c r="B58" s="9" t="s">
        <v>1532</v>
      </c>
      <c r="C58" s="9" t="s">
        <v>1533</v>
      </c>
      <c r="D58" s="10" t="n">
        <v>0.7</v>
      </c>
      <c r="E58" s="11" t="n">
        <v>7.21</v>
      </c>
      <c r="F58" s="12" t="n">
        <f aca="false">E58*6</f>
        <v>43.26</v>
      </c>
      <c r="G58" s="12" t="n">
        <f aca="false">E58*12</f>
        <v>86.52</v>
      </c>
      <c r="H58" s="11" t="n">
        <v>6.78</v>
      </c>
      <c r="I58" s="19" t="n">
        <v>1064</v>
      </c>
      <c r="J58" s="19" t="n">
        <v>1250</v>
      </c>
      <c r="K58" s="19" t="n">
        <v>18</v>
      </c>
      <c r="L58" s="12" t="n">
        <v>76.2</v>
      </c>
    </row>
    <row r="59" customFormat="false" ht="15" hidden="false" customHeight="false" outlineLevel="0" collapsed="false">
      <c r="A59" s="4" t="s">
        <v>1538</v>
      </c>
      <c r="B59" s="4" t="s">
        <v>1532</v>
      </c>
      <c r="C59" s="4" t="s">
        <v>1533</v>
      </c>
      <c r="D59" s="5" t="n">
        <v>0.8</v>
      </c>
      <c r="E59" s="6" t="n">
        <v>8.19</v>
      </c>
      <c r="F59" s="7" t="n">
        <f aca="false">E59*6</f>
        <v>49.14</v>
      </c>
      <c r="G59" s="7" t="n">
        <f aca="false">E59*12</f>
        <v>98.28</v>
      </c>
      <c r="H59" s="6" t="n">
        <v>7.7</v>
      </c>
      <c r="I59" s="18" t="n">
        <v>1064</v>
      </c>
      <c r="J59" s="18" t="n">
        <v>1250</v>
      </c>
      <c r="K59" s="18" t="n">
        <v>18</v>
      </c>
      <c r="L59" s="7" t="n">
        <v>76.2</v>
      </c>
    </row>
    <row r="60" customFormat="false" ht="15" hidden="false" customHeight="false" outlineLevel="0" collapsed="false">
      <c r="A60" s="9" t="s">
        <v>1539</v>
      </c>
      <c r="B60" s="9" t="s">
        <v>1540</v>
      </c>
      <c r="C60" s="9" t="s">
        <v>1541</v>
      </c>
      <c r="D60" s="10" t="n">
        <v>0.5</v>
      </c>
      <c r="E60" s="11" t="n">
        <v>2.1</v>
      </c>
      <c r="F60" s="12" t="n">
        <f aca="false">E60*6</f>
        <v>12.6</v>
      </c>
      <c r="G60" s="12" t="n">
        <f aca="false">E60*12</f>
        <v>25.2</v>
      </c>
      <c r="H60" s="11" t="n">
        <v>5.25</v>
      </c>
      <c r="I60" s="19" t="n">
        <v>400</v>
      </c>
      <c r="J60" s="19" t="n">
        <v>500</v>
      </c>
      <c r="K60" s="19" t="n">
        <v>65</v>
      </c>
      <c r="L60" s="12" t="n">
        <v>400</v>
      </c>
    </row>
    <row r="61" customFormat="false" ht="15" hidden="false" customHeight="false" outlineLevel="0" collapsed="false">
      <c r="A61" s="4" t="s">
        <v>1542</v>
      </c>
      <c r="B61" s="4" t="s">
        <v>1540</v>
      </c>
      <c r="C61" s="4" t="s">
        <v>1541</v>
      </c>
      <c r="D61" s="5" t="n">
        <v>0.6</v>
      </c>
      <c r="E61" s="6" t="n">
        <v>2.49</v>
      </c>
      <c r="F61" s="7" t="n">
        <f aca="false">E61*6</f>
        <v>14.94</v>
      </c>
      <c r="G61" s="7" t="n">
        <f aca="false">E61*12</f>
        <v>29.88</v>
      </c>
      <c r="H61" s="6" t="n">
        <v>6.23</v>
      </c>
      <c r="I61" s="18" t="n">
        <v>400</v>
      </c>
      <c r="J61" s="18" t="n">
        <v>500</v>
      </c>
      <c r="K61" s="18" t="n">
        <v>65</v>
      </c>
      <c r="L61" s="7" t="n">
        <v>400</v>
      </c>
    </row>
    <row r="62" customFormat="false" ht="15" hidden="false" customHeight="false" outlineLevel="0" collapsed="false">
      <c r="A62" s="9" t="s">
        <v>1543</v>
      </c>
      <c r="B62" s="9" t="s">
        <v>1540</v>
      </c>
      <c r="C62" s="9" t="s">
        <v>1541</v>
      </c>
      <c r="D62" s="10" t="n">
        <v>0.7</v>
      </c>
      <c r="E62" s="11" t="n">
        <v>2.88</v>
      </c>
      <c r="F62" s="12" t="n">
        <f aca="false">E62*6</f>
        <v>17.28</v>
      </c>
      <c r="G62" s="12" t="n">
        <f aca="false">E62*12</f>
        <v>34.56</v>
      </c>
      <c r="H62" s="11" t="n">
        <v>7.21</v>
      </c>
      <c r="I62" s="19" t="n">
        <v>400</v>
      </c>
      <c r="J62" s="19" t="n">
        <v>500</v>
      </c>
      <c r="K62" s="19" t="n">
        <v>65</v>
      </c>
      <c r="L62" s="12" t="n">
        <v>400</v>
      </c>
    </row>
    <row r="63" customFormat="false" ht="15" hidden="false" customHeight="false" outlineLevel="0" collapsed="false">
      <c r="A63" s="4" t="s">
        <v>1544</v>
      </c>
      <c r="B63" s="4" t="s">
        <v>1540</v>
      </c>
      <c r="C63" s="4" t="s">
        <v>1541</v>
      </c>
      <c r="D63" s="5" t="n">
        <v>0.8</v>
      </c>
      <c r="E63" s="6" t="n">
        <v>3.28</v>
      </c>
      <c r="F63" s="7" t="n">
        <f aca="false">E63*6</f>
        <v>19.68</v>
      </c>
      <c r="G63" s="7" t="n">
        <f aca="false">E63*12</f>
        <v>39.36</v>
      </c>
      <c r="H63" s="6" t="n">
        <v>8.19</v>
      </c>
      <c r="I63" s="18" t="n">
        <v>400</v>
      </c>
      <c r="J63" s="18" t="n">
        <v>500</v>
      </c>
      <c r="K63" s="18" t="n">
        <v>65</v>
      </c>
      <c r="L63" s="7" t="n">
        <v>400</v>
      </c>
    </row>
    <row r="64" customFormat="false" ht="15" hidden="false" customHeight="false" outlineLevel="0" collapsed="false">
      <c r="A64" s="9" t="s">
        <v>1545</v>
      </c>
      <c r="B64" s="9" t="s">
        <v>1540</v>
      </c>
      <c r="C64" s="9" t="s">
        <v>1546</v>
      </c>
      <c r="D64" s="10" t="n">
        <v>0.5</v>
      </c>
      <c r="E64" s="11" t="n">
        <v>2.62</v>
      </c>
      <c r="F64" s="12" t="n">
        <f aca="false">E64*6</f>
        <v>15.72</v>
      </c>
      <c r="G64" s="12" t="n">
        <f aca="false">E64*12</f>
        <v>31.44</v>
      </c>
      <c r="H64" s="11" t="n">
        <v>5.25</v>
      </c>
      <c r="I64" s="19" t="n">
        <v>500</v>
      </c>
      <c r="J64" s="19" t="n">
        <v>625</v>
      </c>
      <c r="K64" s="19" t="n">
        <v>65</v>
      </c>
      <c r="L64" s="12" t="n">
        <v>500</v>
      </c>
    </row>
    <row r="65" customFormat="false" ht="15" hidden="false" customHeight="false" outlineLevel="0" collapsed="false">
      <c r="A65" s="4" t="s">
        <v>1547</v>
      </c>
      <c r="B65" s="4" t="s">
        <v>1540</v>
      </c>
      <c r="C65" s="4" t="s">
        <v>1546</v>
      </c>
      <c r="D65" s="5" t="n">
        <v>0.6</v>
      </c>
      <c r="E65" s="6" t="n">
        <v>3.12</v>
      </c>
      <c r="F65" s="7" t="n">
        <f aca="false">E65*6</f>
        <v>18.72</v>
      </c>
      <c r="G65" s="7" t="n">
        <f aca="false">E65*12</f>
        <v>37.44</v>
      </c>
      <c r="H65" s="6" t="n">
        <v>6.23</v>
      </c>
      <c r="I65" s="18" t="n">
        <v>500</v>
      </c>
      <c r="J65" s="18" t="n">
        <v>625</v>
      </c>
      <c r="K65" s="18" t="n">
        <v>65</v>
      </c>
      <c r="L65" s="7" t="n">
        <v>500</v>
      </c>
    </row>
    <row r="66" customFormat="false" ht="15" hidden="false" customHeight="false" outlineLevel="0" collapsed="false">
      <c r="A66" s="9" t="s">
        <v>1548</v>
      </c>
      <c r="B66" s="9" t="s">
        <v>1540</v>
      </c>
      <c r="C66" s="9" t="s">
        <v>1546</v>
      </c>
      <c r="D66" s="10" t="n">
        <v>0.7</v>
      </c>
      <c r="E66" s="11" t="n">
        <v>3.61</v>
      </c>
      <c r="F66" s="12" t="n">
        <f aca="false">E66*6</f>
        <v>21.66</v>
      </c>
      <c r="G66" s="12" t="n">
        <f aca="false">E66*12</f>
        <v>43.32</v>
      </c>
      <c r="H66" s="11" t="n">
        <v>7.21</v>
      </c>
      <c r="I66" s="19" t="n">
        <v>500</v>
      </c>
      <c r="J66" s="19" t="n">
        <v>625</v>
      </c>
      <c r="K66" s="19" t="n">
        <v>65</v>
      </c>
      <c r="L66" s="12" t="n">
        <v>500</v>
      </c>
    </row>
    <row r="67" customFormat="false" ht="15" hidden="false" customHeight="false" outlineLevel="0" collapsed="false">
      <c r="A67" s="4" t="s">
        <v>1549</v>
      </c>
      <c r="B67" s="4" t="s">
        <v>1540</v>
      </c>
      <c r="C67" s="4" t="s">
        <v>1546</v>
      </c>
      <c r="D67" s="5" t="n">
        <v>0.8</v>
      </c>
      <c r="E67" s="6" t="n">
        <v>4.1</v>
      </c>
      <c r="F67" s="7" t="n">
        <f aca="false">E67*6</f>
        <v>24.6</v>
      </c>
      <c r="G67" s="7" t="n">
        <f aca="false">E67*12</f>
        <v>49.2</v>
      </c>
      <c r="H67" s="6" t="n">
        <v>8.19</v>
      </c>
      <c r="I67" s="18" t="n">
        <v>500</v>
      </c>
      <c r="J67" s="18" t="n">
        <v>625</v>
      </c>
      <c r="K67" s="18" t="n">
        <v>65</v>
      </c>
      <c r="L67" s="7" t="n">
        <v>500</v>
      </c>
    </row>
    <row r="68" customFormat="false" ht="15" hidden="false" customHeight="false" outlineLevel="0" collapsed="false">
      <c r="A68" s="9" t="s">
        <v>1550</v>
      </c>
      <c r="B68" s="9" t="s">
        <v>1551</v>
      </c>
      <c r="C68" s="9" t="s">
        <v>1552</v>
      </c>
      <c r="D68" s="10" t="n">
        <v>0.75</v>
      </c>
      <c r="E68" s="11" t="n">
        <v>6.16</v>
      </c>
      <c r="F68" s="12" t="n">
        <f aca="false">E68*6</f>
        <v>36.96</v>
      </c>
      <c r="G68" s="12" t="n">
        <f aca="false">E68*12</f>
        <v>73.92</v>
      </c>
      <c r="H68" s="11" t="n">
        <v>8.22</v>
      </c>
      <c r="I68" s="19" t="n">
        <v>750</v>
      </c>
      <c r="J68" s="19" t="n">
        <v>1000</v>
      </c>
      <c r="K68" s="19" t="n">
        <v>51</v>
      </c>
      <c r="L68" s="12" t="n">
        <v>150</v>
      </c>
    </row>
    <row r="69" customFormat="false" ht="15" hidden="false" customHeight="false" outlineLevel="0" collapsed="false">
      <c r="A69" s="4" t="s">
        <v>1553</v>
      </c>
      <c r="B69" s="4" t="s">
        <v>1551</v>
      </c>
      <c r="C69" s="4" t="s">
        <v>1552</v>
      </c>
      <c r="D69" s="5" t="n">
        <v>0.9</v>
      </c>
      <c r="E69" s="6" t="n">
        <v>7.34</v>
      </c>
      <c r="F69" s="7" t="n">
        <f aca="false">E69*6</f>
        <v>44.04</v>
      </c>
      <c r="G69" s="7" t="n">
        <f aca="false">E69*12</f>
        <v>88.08</v>
      </c>
      <c r="H69" s="6" t="n">
        <v>9.79</v>
      </c>
      <c r="I69" s="18" t="n">
        <v>750</v>
      </c>
      <c r="J69" s="18" t="n">
        <v>1000</v>
      </c>
      <c r="K69" s="18" t="n">
        <v>51</v>
      </c>
      <c r="L69" s="7" t="n">
        <v>150</v>
      </c>
    </row>
    <row r="70" customFormat="false" ht="15" hidden="false" customHeight="false" outlineLevel="0" collapsed="false">
      <c r="A70" s="9" t="s">
        <v>1554</v>
      </c>
      <c r="B70" s="9" t="s">
        <v>1551</v>
      </c>
      <c r="C70" s="9" t="s">
        <v>1552</v>
      </c>
      <c r="D70" s="10" t="n">
        <v>1</v>
      </c>
      <c r="E70" s="11" t="n">
        <v>8.12</v>
      </c>
      <c r="F70" s="12" t="n">
        <f aca="false">E70*6</f>
        <v>48.72</v>
      </c>
      <c r="G70" s="12" t="n">
        <f aca="false">E70*12</f>
        <v>97.44</v>
      </c>
      <c r="H70" s="11" t="n">
        <v>10.83</v>
      </c>
      <c r="I70" s="19" t="n">
        <v>750</v>
      </c>
      <c r="J70" s="19" t="n">
        <v>1000</v>
      </c>
      <c r="K70" s="19" t="n">
        <v>51</v>
      </c>
      <c r="L70" s="12" t="n">
        <v>150</v>
      </c>
    </row>
    <row r="71" customFormat="false" ht="15" hidden="false" customHeight="false" outlineLevel="0" collapsed="false">
      <c r="A71" s="4" t="s">
        <v>1555</v>
      </c>
      <c r="B71" s="4" t="s">
        <v>1551</v>
      </c>
      <c r="C71" s="4" t="s">
        <v>1552</v>
      </c>
      <c r="D71" s="5" t="n">
        <v>1.2</v>
      </c>
      <c r="E71" s="6" t="n">
        <v>9.7</v>
      </c>
      <c r="F71" s="7" t="n">
        <f aca="false">E71*6</f>
        <v>58.2</v>
      </c>
      <c r="G71" s="7" t="n">
        <f aca="false">E71*12</f>
        <v>116.4</v>
      </c>
      <c r="H71" s="6" t="n">
        <v>12.93</v>
      </c>
      <c r="I71" s="18" t="n">
        <v>750</v>
      </c>
      <c r="J71" s="18" t="n">
        <v>1000</v>
      </c>
      <c r="K71" s="18" t="n">
        <v>51</v>
      </c>
      <c r="L71" s="7" t="n">
        <v>150</v>
      </c>
    </row>
    <row r="72" customFormat="false" ht="15" hidden="false" customHeight="false" outlineLevel="0" collapsed="false">
      <c r="A72" s="9" t="s">
        <v>1556</v>
      </c>
      <c r="B72" s="9" t="s">
        <v>1551</v>
      </c>
      <c r="C72" s="9" t="s">
        <v>1557</v>
      </c>
      <c r="D72" s="10" t="n">
        <v>0.75</v>
      </c>
      <c r="E72" s="11" t="n">
        <v>7.7</v>
      </c>
      <c r="F72" s="12" t="n">
        <f aca="false">E72*6</f>
        <v>46.2</v>
      </c>
      <c r="G72" s="12" t="n">
        <f aca="false">E72*12</f>
        <v>92.4</v>
      </c>
      <c r="H72" s="11" t="n">
        <v>7.7</v>
      </c>
      <c r="I72" s="19" t="n">
        <v>1000</v>
      </c>
      <c r="J72" s="19" t="n">
        <v>1250</v>
      </c>
      <c r="K72" s="19" t="n">
        <v>60</v>
      </c>
      <c r="L72" s="12" t="n">
        <v>200</v>
      </c>
    </row>
    <row r="73" customFormat="false" ht="15" hidden="false" customHeight="false" outlineLevel="0" collapsed="false">
      <c r="A73" s="4" t="s">
        <v>1558</v>
      </c>
      <c r="B73" s="4" t="s">
        <v>1551</v>
      </c>
      <c r="C73" s="4" t="s">
        <v>1557</v>
      </c>
      <c r="D73" s="5" t="n">
        <v>0.9</v>
      </c>
      <c r="E73" s="6" t="n">
        <v>9.18</v>
      </c>
      <c r="F73" s="7" t="n">
        <f aca="false">E73*6</f>
        <v>55.08</v>
      </c>
      <c r="G73" s="7" t="n">
        <f aca="false">E73*12</f>
        <v>110.16</v>
      </c>
      <c r="H73" s="6" t="n">
        <v>9.18</v>
      </c>
      <c r="I73" s="18" t="n">
        <v>1000</v>
      </c>
      <c r="J73" s="18" t="n">
        <v>1250</v>
      </c>
      <c r="K73" s="18" t="n">
        <v>60</v>
      </c>
      <c r="L73" s="7" t="n">
        <v>200</v>
      </c>
    </row>
    <row r="74" customFormat="false" ht="15" hidden="false" customHeight="false" outlineLevel="0" collapsed="false">
      <c r="A74" s="9" t="s">
        <v>1559</v>
      </c>
      <c r="B74" s="9" t="s">
        <v>1551</v>
      </c>
      <c r="C74" s="9" t="s">
        <v>1557</v>
      </c>
      <c r="D74" s="10" t="n">
        <v>1</v>
      </c>
      <c r="E74" s="11" t="n">
        <v>10.16</v>
      </c>
      <c r="F74" s="12" t="n">
        <f aca="false">E74*6</f>
        <v>60.96</v>
      </c>
      <c r="G74" s="12" t="n">
        <f aca="false">E74*12</f>
        <v>121.92</v>
      </c>
      <c r="H74" s="11" t="n">
        <v>10.16</v>
      </c>
      <c r="I74" s="19" t="n">
        <v>1000</v>
      </c>
      <c r="J74" s="19" t="n">
        <v>1250</v>
      </c>
      <c r="K74" s="19" t="n">
        <v>60</v>
      </c>
      <c r="L74" s="12" t="n">
        <v>200</v>
      </c>
    </row>
    <row r="75" customFormat="false" ht="15" hidden="false" customHeight="false" outlineLevel="0" collapsed="false">
      <c r="A75" s="4" t="s">
        <v>1560</v>
      </c>
      <c r="B75" s="4" t="s">
        <v>1551</v>
      </c>
      <c r="C75" s="4" t="s">
        <v>1557</v>
      </c>
      <c r="D75" s="5" t="n">
        <v>1.2</v>
      </c>
      <c r="E75" s="6" t="n">
        <v>12.12</v>
      </c>
      <c r="F75" s="7" t="n">
        <f aca="false">E75*6</f>
        <v>72.72</v>
      </c>
      <c r="G75" s="7" t="n">
        <f aca="false">E75*12</f>
        <v>145.44</v>
      </c>
      <c r="H75" s="6" t="n">
        <v>12.12</v>
      </c>
      <c r="I75" s="18" t="n">
        <v>1000</v>
      </c>
      <c r="J75" s="18" t="n">
        <v>1250</v>
      </c>
      <c r="K75" s="18" t="n">
        <v>60</v>
      </c>
      <c r="L75" s="7" t="n">
        <v>200</v>
      </c>
    </row>
  </sheetData>
  <autoFilter ref="A4:L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2026-09-23T11:30:28Z</dcterms:created>
  <dc:creator>openpyxl</dc:creator>
  <dc:description/>
  <dc:language>en-US</dc:language>
  <cp:lastModifiedBy/>
  <dcterms:modified xsi:type="dcterms:W3CDTF">2026-09-23T11:30:29Z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